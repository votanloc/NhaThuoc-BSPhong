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v2001\CODE\NhaThuoc-BSPhong\"/>
    </mc:Choice>
  </mc:AlternateContent>
  <xr:revisionPtr revIDLastSave="0" documentId="13_ncr:1_{43EE70AA-47AF-48B4-995D-52B68DF4DCAF}" xr6:coauthVersionLast="47" xr6:coauthVersionMax="47" xr10:uidLastSave="{00000000-0000-0000-0000-000000000000}"/>
  <bookViews>
    <workbookView xWindow="-120" yWindow="-120" windowWidth="29040" windowHeight="15840" xr2:uid="{5945FD37-8862-1743-AD57-40292C8FCD54}"/>
  </bookViews>
  <sheets>
    <sheet name="Sheet1" sheetId="1" r:id="rId1"/>
    <sheet name="Trang_tính1" sheetId="2" r:id="rId2"/>
  </sheets>
  <definedNames>
    <definedName name="_xlnm._FilterDatabase" localSheetId="0" hidden="1">Sheet1!$B$1:$Q$186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" i="1" l="1"/>
  <c r="Q3" i="1"/>
  <c r="S3" i="1" s="1"/>
  <c r="Q4" i="1"/>
  <c r="S4" i="1" s="1"/>
  <c r="Q5" i="1"/>
  <c r="S5" i="1" s="1"/>
  <c r="Q6" i="1"/>
  <c r="S6" i="1" s="1"/>
  <c r="Q8" i="1"/>
  <c r="Q9" i="1"/>
  <c r="S9" i="1" s="1"/>
  <c r="Q10" i="1"/>
  <c r="Q11" i="1"/>
  <c r="Q12" i="1"/>
  <c r="Q13" i="1"/>
  <c r="S13" i="1" s="1"/>
  <c r="Q14" i="1"/>
  <c r="S14" i="1" s="1"/>
  <c r="Q15" i="1"/>
  <c r="Q16" i="1"/>
  <c r="S16" i="1" s="1"/>
  <c r="Q17" i="1"/>
  <c r="S17" i="1" s="1"/>
  <c r="Q18" i="1"/>
  <c r="S18" i="1" s="1"/>
  <c r="Q19" i="1"/>
  <c r="Q20" i="1"/>
  <c r="S20" i="1" s="1"/>
  <c r="Q21" i="1"/>
  <c r="S21" i="1" s="1"/>
  <c r="Q22" i="1"/>
  <c r="Q23" i="1"/>
  <c r="S23" i="1" s="1"/>
  <c r="Q24" i="1"/>
  <c r="S24" i="1" s="1"/>
  <c r="Q25" i="1"/>
  <c r="S25" i="1" s="1"/>
  <c r="Q26" i="1"/>
  <c r="Q27" i="1"/>
  <c r="Q28" i="1"/>
  <c r="Q29" i="1"/>
  <c r="S29" i="1" s="1"/>
  <c r="Q30" i="1"/>
  <c r="S30" i="1" s="1"/>
  <c r="Q31" i="1"/>
  <c r="S31" i="1" s="1"/>
  <c r="Q32" i="1"/>
  <c r="Q33" i="1"/>
  <c r="S33" i="1" s="1"/>
  <c r="Q34" i="1"/>
  <c r="Q35" i="1"/>
  <c r="Q36" i="1"/>
  <c r="Q37" i="1"/>
  <c r="S37" i="1" s="1"/>
  <c r="Q38" i="1"/>
  <c r="Q39" i="1"/>
  <c r="Q40" i="1"/>
  <c r="Q41" i="1"/>
  <c r="S41" i="1" s="1"/>
  <c r="Q42" i="1"/>
  <c r="Q43" i="1"/>
  <c r="S43" i="1" s="1"/>
  <c r="Q44" i="1"/>
  <c r="S44" i="1" s="1"/>
  <c r="Q45" i="1"/>
  <c r="S45" i="1" s="1"/>
  <c r="Q46" i="1"/>
  <c r="Q47" i="1"/>
  <c r="S47" i="1" s="1"/>
  <c r="Q48" i="1"/>
  <c r="Q49" i="1"/>
  <c r="Q50" i="1"/>
  <c r="S50" i="1" s="1"/>
  <c r="Q51" i="1"/>
  <c r="Q52" i="1"/>
  <c r="S52" i="1" s="1"/>
  <c r="Q53" i="1"/>
  <c r="Q54" i="1"/>
  <c r="S54" i="1" s="1"/>
  <c r="Q55" i="1"/>
  <c r="S55" i="1" s="1"/>
  <c r="Q56" i="1"/>
  <c r="Q57" i="1"/>
  <c r="S57" i="1" s="1"/>
  <c r="Q58" i="1"/>
  <c r="S58" i="1" s="1"/>
  <c r="Q59" i="1"/>
  <c r="Q60" i="1"/>
  <c r="S60" i="1" s="1"/>
  <c r="Q61" i="1"/>
  <c r="S61" i="1" s="1"/>
  <c r="Q62" i="1"/>
  <c r="S62" i="1" s="1"/>
  <c r="Q63" i="1"/>
  <c r="Q64" i="1"/>
  <c r="S64" i="1" s="1"/>
  <c r="Q65" i="1"/>
  <c r="S65" i="1" s="1"/>
  <c r="Q66" i="1"/>
  <c r="S66" i="1" s="1"/>
  <c r="Q67" i="1"/>
  <c r="S67" i="1" s="1"/>
  <c r="Q68" i="1"/>
  <c r="Q69" i="1"/>
  <c r="Q70" i="1"/>
  <c r="Q71" i="1"/>
  <c r="Q72" i="1"/>
  <c r="Q73" i="1"/>
  <c r="S73" i="1" s="1"/>
  <c r="Q74" i="1"/>
  <c r="S74" i="1" s="1"/>
  <c r="Q75" i="1"/>
  <c r="S75" i="1" s="1"/>
  <c r="Q76" i="1"/>
  <c r="S76" i="1" s="1"/>
  <c r="Q77" i="1"/>
  <c r="Q78" i="1"/>
  <c r="Q79" i="1"/>
  <c r="Q80" i="1"/>
  <c r="S80" i="1" s="1"/>
  <c r="Q81" i="1"/>
  <c r="S81" i="1" s="1"/>
  <c r="Q82" i="1"/>
  <c r="S82" i="1" s="1"/>
  <c r="Q83" i="1"/>
  <c r="S83" i="1" s="1"/>
  <c r="Q84" i="1"/>
  <c r="S84" i="1" s="1"/>
  <c r="Q85" i="1"/>
  <c r="Q86" i="1"/>
  <c r="Q87" i="1"/>
  <c r="Q88" i="1"/>
  <c r="S88" i="1" s="1"/>
  <c r="Q89" i="1"/>
  <c r="Q90" i="1"/>
  <c r="S90" i="1" s="1"/>
  <c r="Q91" i="1"/>
  <c r="S91" i="1" s="1"/>
  <c r="Q92" i="1"/>
  <c r="Q93" i="1"/>
  <c r="S93" i="1" s="1"/>
  <c r="Q94" i="1"/>
  <c r="Q95" i="1"/>
  <c r="S95" i="1" s="1"/>
  <c r="Q96" i="1"/>
  <c r="S96" i="1" s="1"/>
  <c r="Q97" i="1"/>
  <c r="Q98" i="1"/>
  <c r="S98" i="1" s="1"/>
  <c r="Q99" i="1"/>
  <c r="S99" i="1" s="1"/>
  <c r="Q100" i="1"/>
  <c r="Q101" i="1"/>
  <c r="S101" i="1" s="1"/>
  <c r="Q102" i="1"/>
  <c r="Q103" i="1"/>
  <c r="S103" i="1" s="1"/>
  <c r="Q104" i="1"/>
  <c r="S104" i="1" s="1"/>
  <c r="Q105" i="1"/>
  <c r="Q106" i="1"/>
  <c r="S106" i="1" s="1"/>
  <c r="Q107" i="1"/>
  <c r="Q108" i="1"/>
  <c r="S108" i="1" s="1"/>
  <c r="Q109" i="1"/>
  <c r="Q110" i="1"/>
  <c r="Q111" i="1"/>
  <c r="S111" i="1" s="1"/>
  <c r="Q112" i="1"/>
  <c r="S112" i="1" s="1"/>
  <c r="Q113" i="1"/>
  <c r="S113" i="1" s="1"/>
  <c r="Q114" i="1"/>
  <c r="Q115" i="1"/>
  <c r="Q116" i="1"/>
  <c r="S116" i="1" s="1"/>
  <c r="Q117" i="1"/>
  <c r="S117" i="1" s="1"/>
  <c r="Q118" i="1"/>
  <c r="S118" i="1" s="1"/>
  <c r="Q119" i="1"/>
  <c r="S119" i="1" s="1"/>
  <c r="Q120" i="1"/>
  <c r="Q121" i="1"/>
  <c r="Q122" i="1"/>
  <c r="S122" i="1" s="1"/>
  <c r="Q123" i="1"/>
  <c r="Q124" i="1"/>
  <c r="S124" i="1" s="1"/>
  <c r="Q125" i="1"/>
  <c r="S125" i="1" s="1"/>
  <c r="Q126" i="1"/>
  <c r="Q127" i="1"/>
  <c r="Q128" i="1"/>
  <c r="S128" i="1" s="1"/>
  <c r="Q129" i="1"/>
  <c r="S129" i="1" s="1"/>
  <c r="Q130" i="1"/>
  <c r="S130" i="1" s="1"/>
  <c r="Q131" i="1"/>
  <c r="S131" i="1" s="1"/>
  <c r="Q132" i="1"/>
  <c r="S132" i="1" s="1"/>
  <c r="Q133" i="1"/>
  <c r="S133" i="1" s="1"/>
  <c r="Q134" i="1"/>
  <c r="Q135" i="1"/>
  <c r="S135" i="1" s="1"/>
  <c r="Q136" i="1"/>
  <c r="S136" i="1" s="1"/>
  <c r="Q137" i="1"/>
  <c r="S137" i="1" s="1"/>
  <c r="Q138" i="1"/>
  <c r="S138" i="1" s="1"/>
  <c r="Q139" i="1"/>
  <c r="S139" i="1" s="1"/>
  <c r="Q140" i="1"/>
  <c r="Q141" i="1"/>
  <c r="S141" i="1" s="1"/>
  <c r="Q142" i="1"/>
  <c r="S142" i="1" s="1"/>
  <c r="Q143" i="1"/>
  <c r="S143" i="1" s="1"/>
  <c r="Q144" i="1"/>
  <c r="S144" i="1" s="1"/>
  <c r="Q145" i="1"/>
  <c r="S145" i="1" s="1"/>
  <c r="Q146" i="1"/>
  <c r="Q147" i="1"/>
  <c r="S147" i="1" s="1"/>
  <c r="Q148" i="1"/>
  <c r="Q149" i="1"/>
  <c r="S149" i="1" s="1"/>
  <c r="Q150" i="1"/>
  <c r="S150" i="1" s="1"/>
  <c r="Q151" i="1"/>
  <c r="S151" i="1" s="1"/>
  <c r="Q152" i="1"/>
  <c r="S152" i="1" s="1"/>
  <c r="Q153" i="1"/>
  <c r="S153" i="1" s="1"/>
  <c r="Q154" i="1"/>
  <c r="S154" i="1" s="1"/>
  <c r="Q155" i="1"/>
  <c r="Q156" i="1"/>
  <c r="Q157" i="1"/>
  <c r="S157" i="1" s="1"/>
  <c r="Q158" i="1"/>
  <c r="S158" i="1" s="1"/>
  <c r="Q159" i="1"/>
  <c r="S159" i="1" s="1"/>
  <c r="Q160" i="1"/>
  <c r="S160" i="1" s="1"/>
  <c r="Q161" i="1"/>
  <c r="S161" i="1" s="1"/>
  <c r="Q162" i="1"/>
  <c r="Q163" i="1"/>
  <c r="Q164" i="1"/>
  <c r="Q165" i="1"/>
  <c r="S165" i="1" s="1"/>
  <c r="Q166" i="1"/>
  <c r="Q167" i="1"/>
  <c r="S167" i="1" s="1"/>
  <c r="Q168" i="1"/>
  <c r="Q169" i="1"/>
  <c r="S169" i="1" s="1"/>
  <c r="Q170" i="1"/>
  <c r="Q171" i="1"/>
  <c r="S171" i="1" s="1"/>
  <c r="Q172" i="1"/>
  <c r="Q173" i="1"/>
  <c r="S173" i="1" s="1"/>
  <c r="Q174" i="1"/>
  <c r="Q175" i="1"/>
  <c r="S175" i="1" s="1"/>
  <c r="Q176" i="1"/>
  <c r="Q177" i="1"/>
  <c r="S177" i="1" s="1"/>
  <c r="Q178" i="1"/>
  <c r="Q179" i="1"/>
  <c r="Q180" i="1"/>
  <c r="S180" i="1" s="1"/>
  <c r="Q181" i="1"/>
  <c r="S181" i="1" s="1"/>
  <c r="Q182" i="1"/>
  <c r="S182" i="1" s="1"/>
  <c r="Q183" i="1"/>
  <c r="S183" i="1" s="1"/>
  <c r="Q184" i="1"/>
  <c r="S184" i="1" s="1"/>
  <c r="Q185" i="1"/>
  <c r="Q2" i="1"/>
  <c r="S2" i="1" s="1"/>
  <c r="F3" i="1"/>
  <c r="R3" i="1" s="1"/>
  <c r="F4" i="1"/>
  <c r="R4" i="1" s="1"/>
  <c r="F5" i="1"/>
  <c r="R5" i="1" s="1"/>
  <c r="F6" i="1"/>
  <c r="R6" i="1" s="1"/>
  <c r="F7" i="1"/>
  <c r="R7" i="1" s="1"/>
  <c r="F8" i="1"/>
  <c r="R8" i="1" s="1"/>
  <c r="F9" i="1"/>
  <c r="R9" i="1" s="1"/>
  <c r="F10" i="1"/>
  <c r="R10" i="1" s="1"/>
  <c r="F11" i="1"/>
  <c r="R11" i="1" s="1"/>
  <c r="F12" i="1"/>
  <c r="R12" i="1" s="1"/>
  <c r="F13" i="1"/>
  <c r="R13" i="1" s="1"/>
  <c r="F14" i="1"/>
  <c r="R14" i="1" s="1"/>
  <c r="F15" i="1"/>
  <c r="R15" i="1" s="1"/>
  <c r="F16" i="1"/>
  <c r="R16" i="1" s="1"/>
  <c r="F17" i="1"/>
  <c r="R17" i="1" s="1"/>
  <c r="F18" i="1"/>
  <c r="R18" i="1" s="1"/>
  <c r="F19" i="1"/>
  <c r="R19" i="1" s="1"/>
  <c r="F20" i="1"/>
  <c r="R20" i="1" s="1"/>
  <c r="F21" i="1"/>
  <c r="R21" i="1" s="1"/>
  <c r="F22" i="1"/>
  <c r="R22" i="1" s="1"/>
  <c r="F23" i="1"/>
  <c r="R23" i="1" s="1"/>
  <c r="F24" i="1"/>
  <c r="R24" i="1" s="1"/>
  <c r="F25" i="1"/>
  <c r="R25" i="1" s="1"/>
  <c r="F26" i="1"/>
  <c r="R26" i="1" s="1"/>
  <c r="F27" i="1"/>
  <c r="R27" i="1" s="1"/>
  <c r="F28" i="1"/>
  <c r="R28" i="1" s="1"/>
  <c r="F29" i="1"/>
  <c r="R29" i="1" s="1"/>
  <c r="F30" i="1"/>
  <c r="R30" i="1" s="1"/>
  <c r="F31" i="1"/>
  <c r="R31" i="1" s="1"/>
  <c r="F32" i="1"/>
  <c r="R32" i="1" s="1"/>
  <c r="F33" i="1"/>
  <c r="R33" i="1" s="1"/>
  <c r="F34" i="1"/>
  <c r="R34" i="1" s="1"/>
  <c r="F35" i="1"/>
  <c r="R35" i="1" s="1"/>
  <c r="F36" i="1"/>
  <c r="R36" i="1" s="1"/>
  <c r="F37" i="1"/>
  <c r="R37" i="1" s="1"/>
  <c r="F38" i="1"/>
  <c r="R38" i="1" s="1"/>
  <c r="F39" i="1"/>
  <c r="R39" i="1" s="1"/>
  <c r="F40" i="1"/>
  <c r="R40" i="1" s="1"/>
  <c r="F41" i="1"/>
  <c r="R41" i="1" s="1"/>
  <c r="F42" i="1"/>
  <c r="R42" i="1" s="1"/>
  <c r="F43" i="1"/>
  <c r="R43" i="1" s="1"/>
  <c r="F44" i="1"/>
  <c r="R44" i="1" s="1"/>
  <c r="F45" i="1"/>
  <c r="R45" i="1" s="1"/>
  <c r="F46" i="1"/>
  <c r="R46" i="1" s="1"/>
  <c r="F47" i="1"/>
  <c r="R47" i="1" s="1"/>
  <c r="F48" i="1"/>
  <c r="R48" i="1" s="1"/>
  <c r="F49" i="1"/>
  <c r="R49" i="1" s="1"/>
  <c r="F50" i="1"/>
  <c r="R50" i="1" s="1"/>
  <c r="F51" i="1"/>
  <c r="R51" i="1" s="1"/>
  <c r="F52" i="1"/>
  <c r="R52" i="1" s="1"/>
  <c r="F53" i="1"/>
  <c r="R53" i="1" s="1"/>
  <c r="F54" i="1"/>
  <c r="R54" i="1" s="1"/>
  <c r="F55" i="1"/>
  <c r="R55" i="1" s="1"/>
  <c r="F56" i="1"/>
  <c r="R56" i="1" s="1"/>
  <c r="F57" i="1"/>
  <c r="R57" i="1" s="1"/>
  <c r="F58" i="1"/>
  <c r="R58" i="1" s="1"/>
  <c r="F59" i="1"/>
  <c r="R59" i="1" s="1"/>
  <c r="F60" i="1"/>
  <c r="R60" i="1" s="1"/>
  <c r="F61" i="1"/>
  <c r="R61" i="1" s="1"/>
  <c r="F62" i="1"/>
  <c r="R62" i="1" s="1"/>
  <c r="F63" i="1"/>
  <c r="R63" i="1" s="1"/>
  <c r="F64" i="1"/>
  <c r="R64" i="1" s="1"/>
  <c r="F65" i="1"/>
  <c r="R65" i="1" s="1"/>
  <c r="F66" i="1"/>
  <c r="R66" i="1" s="1"/>
  <c r="F67" i="1"/>
  <c r="R67" i="1" s="1"/>
  <c r="F68" i="1"/>
  <c r="R68" i="1" s="1"/>
  <c r="F69" i="1"/>
  <c r="R69" i="1" s="1"/>
  <c r="F70" i="1"/>
  <c r="R70" i="1" s="1"/>
  <c r="F71" i="1"/>
  <c r="R71" i="1" s="1"/>
  <c r="F72" i="1"/>
  <c r="R72" i="1" s="1"/>
  <c r="F73" i="1"/>
  <c r="R73" i="1" s="1"/>
  <c r="F74" i="1"/>
  <c r="R74" i="1" s="1"/>
  <c r="F75" i="1"/>
  <c r="R75" i="1" s="1"/>
  <c r="F76" i="1"/>
  <c r="R76" i="1" s="1"/>
  <c r="F77" i="1"/>
  <c r="R77" i="1" s="1"/>
  <c r="F78" i="1"/>
  <c r="R78" i="1" s="1"/>
  <c r="F79" i="1"/>
  <c r="R79" i="1" s="1"/>
  <c r="F80" i="1"/>
  <c r="R80" i="1" s="1"/>
  <c r="F81" i="1"/>
  <c r="R81" i="1" s="1"/>
  <c r="F82" i="1"/>
  <c r="R82" i="1" s="1"/>
  <c r="F83" i="1"/>
  <c r="R83" i="1" s="1"/>
  <c r="F84" i="1"/>
  <c r="F85" i="1"/>
  <c r="R85" i="1" s="1"/>
  <c r="F86" i="1"/>
  <c r="R86" i="1" s="1"/>
  <c r="F87" i="1"/>
  <c r="R87" i="1" s="1"/>
  <c r="F88" i="1"/>
  <c r="R88" i="1" s="1"/>
  <c r="F89" i="1"/>
  <c r="R89" i="1" s="1"/>
  <c r="F90" i="1"/>
  <c r="R90" i="1" s="1"/>
  <c r="F91" i="1"/>
  <c r="R91" i="1" s="1"/>
  <c r="F92" i="1"/>
  <c r="S92" i="1" s="1"/>
  <c r="F93" i="1"/>
  <c r="R93" i="1" s="1"/>
  <c r="F94" i="1"/>
  <c r="R94" i="1" s="1"/>
  <c r="F95" i="1"/>
  <c r="R95" i="1" s="1"/>
  <c r="F96" i="1"/>
  <c r="R96" i="1" s="1"/>
  <c r="F97" i="1"/>
  <c r="R97" i="1" s="1"/>
  <c r="F98" i="1"/>
  <c r="R98" i="1" s="1"/>
  <c r="F99" i="1"/>
  <c r="R99" i="1" s="1"/>
  <c r="F100" i="1"/>
  <c r="R100" i="1" s="1"/>
  <c r="F101" i="1"/>
  <c r="R101" i="1" s="1"/>
  <c r="F102" i="1"/>
  <c r="R102" i="1" s="1"/>
  <c r="F103" i="1"/>
  <c r="R103" i="1" s="1"/>
  <c r="F104" i="1"/>
  <c r="R104" i="1" s="1"/>
  <c r="F105" i="1"/>
  <c r="R105" i="1" s="1"/>
  <c r="F106" i="1"/>
  <c r="R106" i="1" s="1"/>
  <c r="F107" i="1"/>
  <c r="R107" i="1" s="1"/>
  <c r="F108" i="1"/>
  <c r="R108" i="1" s="1"/>
  <c r="F109" i="1"/>
  <c r="R109" i="1" s="1"/>
  <c r="F110" i="1"/>
  <c r="R110" i="1" s="1"/>
  <c r="F111" i="1"/>
  <c r="R111" i="1" s="1"/>
  <c r="F112" i="1"/>
  <c r="R112" i="1" s="1"/>
  <c r="F113" i="1"/>
  <c r="R113" i="1" s="1"/>
  <c r="F114" i="1"/>
  <c r="R114" i="1" s="1"/>
  <c r="F115" i="1"/>
  <c r="R115" i="1" s="1"/>
  <c r="F116" i="1"/>
  <c r="R116" i="1" s="1"/>
  <c r="F117" i="1"/>
  <c r="R117" i="1" s="1"/>
  <c r="F118" i="1"/>
  <c r="R118" i="1" s="1"/>
  <c r="F119" i="1"/>
  <c r="R119" i="1" s="1"/>
  <c r="F120" i="1"/>
  <c r="R120" i="1" s="1"/>
  <c r="F121" i="1"/>
  <c r="R121" i="1" s="1"/>
  <c r="F122" i="1"/>
  <c r="R122" i="1" s="1"/>
  <c r="F123" i="1"/>
  <c r="R123" i="1" s="1"/>
  <c r="F124" i="1"/>
  <c r="R124" i="1" s="1"/>
  <c r="F125" i="1"/>
  <c r="R125" i="1" s="1"/>
  <c r="F126" i="1"/>
  <c r="R126" i="1" s="1"/>
  <c r="F127" i="1"/>
  <c r="R127" i="1" s="1"/>
  <c r="F128" i="1"/>
  <c r="R128" i="1" s="1"/>
  <c r="F129" i="1"/>
  <c r="R129" i="1" s="1"/>
  <c r="F130" i="1"/>
  <c r="R130" i="1" s="1"/>
  <c r="F131" i="1"/>
  <c r="R131" i="1" s="1"/>
  <c r="F132" i="1"/>
  <c r="R132" i="1" s="1"/>
  <c r="F133" i="1"/>
  <c r="R133" i="1" s="1"/>
  <c r="F134" i="1"/>
  <c r="R134" i="1" s="1"/>
  <c r="F135" i="1"/>
  <c r="R135" i="1" s="1"/>
  <c r="F136" i="1"/>
  <c r="F137" i="1"/>
  <c r="R137" i="1" s="1"/>
  <c r="F138" i="1"/>
  <c r="R138" i="1" s="1"/>
  <c r="F139" i="1"/>
  <c r="R139" i="1" s="1"/>
  <c r="F140" i="1"/>
  <c r="R140" i="1" s="1"/>
  <c r="F141" i="1"/>
  <c r="R141" i="1" s="1"/>
  <c r="F142" i="1"/>
  <c r="R142" i="1" s="1"/>
  <c r="F143" i="1"/>
  <c r="R143" i="1" s="1"/>
  <c r="F144" i="1"/>
  <c r="R144" i="1" s="1"/>
  <c r="F145" i="1"/>
  <c r="R145" i="1" s="1"/>
  <c r="F146" i="1"/>
  <c r="R146" i="1" s="1"/>
  <c r="F147" i="1"/>
  <c r="R147" i="1" s="1"/>
  <c r="F148" i="1"/>
  <c r="R148" i="1" s="1"/>
  <c r="F149" i="1"/>
  <c r="F150" i="1"/>
  <c r="R150" i="1" s="1"/>
  <c r="F151" i="1"/>
  <c r="R151" i="1" s="1"/>
  <c r="F152" i="1"/>
  <c r="R152" i="1" s="1"/>
  <c r="F153" i="1"/>
  <c r="R153" i="1" s="1"/>
  <c r="F154" i="1"/>
  <c r="R154" i="1" s="1"/>
  <c r="F155" i="1"/>
  <c r="R155" i="1" s="1"/>
  <c r="F156" i="1"/>
  <c r="S156" i="1" s="1"/>
  <c r="F157" i="1"/>
  <c r="R157" i="1" s="1"/>
  <c r="F158" i="1"/>
  <c r="R158" i="1" s="1"/>
  <c r="F159" i="1"/>
  <c r="R159" i="1" s="1"/>
  <c r="F160" i="1"/>
  <c r="R160" i="1" s="1"/>
  <c r="F161" i="1"/>
  <c r="R161" i="1" s="1"/>
  <c r="F162" i="1"/>
  <c r="R162" i="1" s="1"/>
  <c r="F163" i="1"/>
  <c r="R163" i="1" s="1"/>
  <c r="F164" i="1"/>
  <c r="R164" i="1" s="1"/>
  <c r="F165" i="1"/>
  <c r="R165" i="1" s="1"/>
  <c r="F166" i="1"/>
  <c r="R166" i="1" s="1"/>
  <c r="F167" i="1"/>
  <c r="R167" i="1" s="1"/>
  <c r="F168" i="1"/>
  <c r="R168" i="1" s="1"/>
  <c r="F169" i="1"/>
  <c r="R169" i="1" s="1"/>
  <c r="F170" i="1"/>
  <c r="R170" i="1" s="1"/>
  <c r="F171" i="1"/>
  <c r="R171" i="1" s="1"/>
  <c r="F172" i="1"/>
  <c r="R172" i="1" s="1"/>
  <c r="F173" i="1"/>
  <c r="R173" i="1" s="1"/>
  <c r="F174" i="1"/>
  <c r="R174" i="1" s="1"/>
  <c r="F175" i="1"/>
  <c r="R175" i="1" s="1"/>
  <c r="F176" i="1"/>
  <c r="R176" i="1" s="1"/>
  <c r="F177" i="1"/>
  <c r="R177" i="1" s="1"/>
  <c r="F178" i="1"/>
  <c r="R178" i="1" s="1"/>
  <c r="F179" i="1"/>
  <c r="R179" i="1" s="1"/>
  <c r="F180" i="1"/>
  <c r="R180" i="1" s="1"/>
  <c r="F181" i="1"/>
  <c r="R181" i="1" s="1"/>
  <c r="F182" i="1"/>
  <c r="R182" i="1" s="1"/>
  <c r="F183" i="1"/>
  <c r="R183" i="1" s="1"/>
  <c r="F184" i="1"/>
  <c r="R184" i="1" s="1"/>
  <c r="F185" i="1"/>
  <c r="R185" i="1" s="1"/>
  <c r="F2" i="1"/>
  <c r="R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2" i="1"/>
  <c r="L165" i="1"/>
  <c r="K149" i="1"/>
  <c r="K136" i="1"/>
  <c r="L101" i="1"/>
  <c r="K84" i="1"/>
  <c r="H99" i="1"/>
  <c r="H54" i="1"/>
  <c r="S127" i="1" l="1"/>
  <c r="S78" i="1"/>
  <c r="S15" i="1"/>
  <c r="S126" i="1"/>
  <c r="S71" i="1"/>
  <c r="S110" i="1"/>
  <c r="S70" i="1"/>
  <c r="R84" i="1"/>
  <c r="S102" i="1"/>
  <c r="S63" i="1"/>
  <c r="S94" i="1"/>
  <c r="S46" i="1"/>
  <c r="S174" i="1"/>
  <c r="S87" i="1"/>
  <c r="S39" i="1"/>
  <c r="S166" i="1"/>
  <c r="S86" i="1"/>
  <c r="S38" i="1"/>
  <c r="S134" i="1"/>
  <c r="S79" i="1"/>
  <c r="S22" i="1"/>
  <c r="S178" i="1"/>
  <c r="S170" i="1"/>
  <c r="S162" i="1"/>
  <c r="S146" i="1"/>
  <c r="S114" i="1"/>
  <c r="S42" i="1"/>
  <c r="S34" i="1"/>
  <c r="S26" i="1"/>
  <c r="S10" i="1"/>
  <c r="S185" i="1"/>
  <c r="S121" i="1"/>
  <c r="S105" i="1"/>
  <c r="S97" i="1"/>
  <c r="S89" i="1"/>
  <c r="S49" i="1"/>
  <c r="R149" i="1"/>
  <c r="S176" i="1"/>
  <c r="S168" i="1"/>
  <c r="S120" i="1"/>
  <c r="S72" i="1"/>
  <c r="S56" i="1"/>
  <c r="S48" i="1"/>
  <c r="S40" i="1"/>
  <c r="S32" i="1"/>
  <c r="S8" i="1"/>
  <c r="S7" i="1"/>
  <c r="R156" i="1"/>
  <c r="S109" i="1"/>
  <c r="S85" i="1"/>
  <c r="S77" i="1"/>
  <c r="S69" i="1"/>
  <c r="S53" i="1"/>
  <c r="R92" i="1"/>
  <c r="S172" i="1"/>
  <c r="S164" i="1"/>
  <c r="S148" i="1"/>
  <c r="S140" i="1"/>
  <c r="S100" i="1"/>
  <c r="S68" i="1"/>
  <c r="S36" i="1"/>
  <c r="S28" i="1"/>
  <c r="S12" i="1"/>
  <c r="R136" i="1"/>
  <c r="S179" i="1"/>
  <c r="S163" i="1"/>
  <c r="S155" i="1"/>
  <c r="S123" i="1"/>
  <c r="S115" i="1"/>
  <c r="S107" i="1"/>
  <c r="S59" i="1"/>
  <c r="S51" i="1"/>
  <c r="S35" i="1"/>
  <c r="S27" i="1"/>
  <c r="S19" i="1"/>
  <c r="S11" i="1"/>
  <c r="P186" i="1"/>
</calcChain>
</file>

<file path=xl/sharedStrings.xml><?xml version="1.0" encoding="utf-8"?>
<sst xmlns="http://schemas.openxmlformats.org/spreadsheetml/2006/main" count="1374" uniqueCount="606">
  <si>
    <t>NHÓM THUỐC</t>
  </si>
  <si>
    <t>HOẠT CHẤT</t>
  </si>
  <si>
    <t>TÊN THUỐC</t>
  </si>
  <si>
    <t>Acetylcystein 200ng</t>
  </si>
  <si>
    <t>ACEMUC 200 H/30V</t>
  </si>
  <si>
    <t>Kháng virus</t>
  </si>
  <si>
    <t>Hô hấp</t>
  </si>
  <si>
    <t>Acyclovir 400mg</t>
  </si>
  <si>
    <t>Acyclovir 800mg</t>
  </si>
  <si>
    <t>Acyclovir 400 H/35v</t>
  </si>
  <si>
    <t>Acyclorvir</t>
  </si>
  <si>
    <t>Tiêu hoá</t>
  </si>
  <si>
    <t>Sinmethicon 80mg</t>
  </si>
  <si>
    <t>Air-X H/100v (nhai)</t>
  </si>
  <si>
    <t>Cơ xương khớp</t>
  </si>
  <si>
    <t>Allopurinol 300mg</t>
  </si>
  <si>
    <t>Thần kinh</t>
  </si>
  <si>
    <t>Amitriptilin 25mg</t>
  </si>
  <si>
    <t>Amitriptilin 25 C/100v</t>
  </si>
  <si>
    <t>Amoxicillin 875mg , Acid Clavulanic125mg</t>
  </si>
  <si>
    <t>Kháng sinh</t>
  </si>
  <si>
    <t>Augmentin 1g H/14V GSK</t>
  </si>
  <si>
    <t>Irbesartan 150mg, Hydroclorthiazid 12,5mg</t>
  </si>
  <si>
    <t>Tim mạch</t>
  </si>
  <si>
    <t>Aprovel 150mg H/28V</t>
  </si>
  <si>
    <t>Celecoxib 200 mg</t>
  </si>
  <si>
    <t>Giảm đau, kháng viêm</t>
  </si>
  <si>
    <t>Celebrex 200mg H/30V</t>
  </si>
  <si>
    <t>Celecoxib 200 mg H/30V</t>
  </si>
  <si>
    <t>Diosmin 450mg + Hesperidin 50mg</t>
  </si>
  <si>
    <t>Clopidogrel 75mg</t>
  </si>
  <si>
    <t>Fexofenadin 180mg</t>
  </si>
  <si>
    <t>Levofloxacin 500mg</t>
  </si>
  <si>
    <t>Eperison 50mg</t>
  </si>
  <si>
    <t>Rosuvastatin 10mg</t>
  </si>
  <si>
    <t>Rosuvastatin 20mg</t>
  </si>
  <si>
    <t>Valsartan 80mg</t>
  </si>
  <si>
    <t>Esomeprazol 20mg</t>
  </si>
  <si>
    <t>Aspirin 81mg</t>
  </si>
  <si>
    <t>Atorvastatin 20mg</t>
  </si>
  <si>
    <t>Albendazol 400mg</t>
  </si>
  <si>
    <t>Bambuterol 10mg</t>
  </si>
  <si>
    <t>Vitamin và khoáng chất</t>
  </si>
  <si>
    <t>Betahistin 16mg</t>
  </si>
  <si>
    <t>Bromhexine 8mg</t>
  </si>
  <si>
    <t>Hyoscine butylbromide 10mg</t>
  </si>
  <si>
    <t>Azithromycin 500mg</t>
  </si>
  <si>
    <t>Prednisolon 5mg</t>
  </si>
  <si>
    <t>Flavoxat 200 mg</t>
  </si>
  <si>
    <t>Clorpheniramin 4mg</t>
  </si>
  <si>
    <t>Bisoprolol 2.5mg</t>
  </si>
  <si>
    <t>Amiodarone 200mg</t>
  </si>
  <si>
    <t>Perindopril 5mg</t>
  </si>
  <si>
    <t>Perindopril 5mg, Indapamid 1.25mg</t>
  </si>
  <si>
    <t>Triclabendazole 250mg</t>
  </si>
  <si>
    <t>Gliclazid 30mg</t>
  </si>
  <si>
    <t>Gliclazid 60mg</t>
  </si>
  <si>
    <t>Fluconazole 150 mg</t>
  </si>
  <si>
    <t>Digoxin 0.25mg</t>
  </si>
  <si>
    <t>Colchicin 1mg</t>
  </si>
  <si>
    <t>Lactulose 667mg</t>
  </si>
  <si>
    <t>Mebeverin 200mg</t>
  </si>
  <si>
    <t>Paracetamol 500mg</t>
  </si>
  <si>
    <t>Paracetamol 500mg, Codein 30mg</t>
  </si>
  <si>
    <t>Itopride 50mg</t>
  </si>
  <si>
    <t>Bacillus clausii ; Bacillus subtilis ; Kẽm gluconat 5mg</t>
  </si>
  <si>
    <t>Amlodipin 10mg, Valsartan 160mg</t>
  </si>
  <si>
    <t>Kẽm 10mg (dưới dạng kẽm gluconat 70mg)</t>
  </si>
  <si>
    <t>Febuxostat 80 mg</t>
  </si>
  <si>
    <t>Fenofibrat 200mg</t>
  </si>
  <si>
    <t>Sắt Fumarate 162mg, Folic Acid 0.75mg,Vitamin B12 7.5mcg</t>
  </si>
  <si>
    <t>Fluticasone 50mg</t>
  </si>
  <si>
    <t>Macrogo 4000</t>
  </si>
  <si>
    <t>Spironolacton 50mg, Furosemid 20mg</t>
  </si>
  <si>
    <t>Vildagliptin 50mg</t>
  </si>
  <si>
    <t>Ginkgo biloba 140mg, Rutin: 10mg,..</t>
  </si>
  <si>
    <t>Ciprofloxacin 500mg</t>
  </si>
  <si>
    <t>Metformin 1000mg</t>
  </si>
  <si>
    <t>Metformin 500mg</t>
  </si>
  <si>
    <t>Cefuroxim 500mg</t>
  </si>
  <si>
    <t>Cao Đặc Rễ Đinh Lăng 150 mg + Cao Khô Lá Bạch Quả 5 mg</t>
  </si>
  <si>
    <t>Isosorbid 60mg</t>
  </si>
  <si>
    <t>Glucosamine 1500mg, MSM 200mg, Chiết xuất vỏ cây liễu trắng 160mg,...</t>
  </si>
  <si>
    <t>Ketokonazol 200mg</t>
  </si>
  <si>
    <t>Cao Kim tiền thảo 200, Cao Râu mèo 100</t>
  </si>
  <si>
    <t>Silymarin 70mg</t>
  </si>
  <si>
    <t>Levothyrox 100mcg</t>
  </si>
  <si>
    <t>Losartan 50mg, Hydrochlothiazide 12.5mg</t>
  </si>
  <si>
    <t>Losartan 50mg</t>
  </si>
  <si>
    <t>Linezolid 600mg</t>
  </si>
  <si>
    <t>Pregabalin 100 mg</t>
  </si>
  <si>
    <t>Pregabalin 50</t>
  </si>
  <si>
    <t>Magnesi lactat dihydrat 470mg +  Pyridoxin hydroclorid 5mg</t>
  </si>
  <si>
    <t>Methylprednisolone 16mg</t>
  </si>
  <si>
    <t>Methyprednisolon 4mg</t>
  </si>
  <si>
    <t>Meloxicam 7.5mg</t>
  </si>
  <si>
    <t>Flunarizine 5mg</t>
  </si>
  <si>
    <t>Insulin 100IU/mL</t>
  </si>
  <si>
    <t>Domperidon 10mg</t>
  </si>
  <si>
    <t>Montelukast 5mg</t>
  </si>
  <si>
    <t>Codein 10mg, Glyceryl 100mg</t>
  </si>
  <si>
    <t>Natri clorid 0.9%/10ml</t>
  </si>
  <si>
    <t>Esomeprazol 40mg</t>
  </si>
  <si>
    <t>Piracetam 800mg</t>
  </si>
  <si>
    <t>Drotaverin 80mg</t>
  </si>
  <si>
    <t>Tramadol 37.5mg+Paracetamol 325mg</t>
  </si>
  <si>
    <t>Metoclopramid 10mg</t>
  </si>
  <si>
    <t>Aluminum phosphat 20%</t>
  </si>
  <si>
    <t>Salbutamol 3010mcg, Ipratropium bromid 520mcg</t>
  </si>
  <si>
    <t>Budesonide 500mcg/2ml</t>
  </si>
  <si>
    <t>Salbutamol 5mg/2.5ml</t>
  </si>
  <si>
    <t>Ivermectin 6mg</t>
  </si>
  <si>
    <t>Ivabradin 5mg</t>
  </si>
  <si>
    <t>Propranolon 40mg</t>
  </si>
  <si>
    <t>Cao khô lá Thường xuân 0.7g</t>
  </si>
  <si>
    <t>Diosmectite 3g</t>
  </si>
  <si>
    <t>Prednisolon 20</t>
  </si>
  <si>
    <t>Sorbitol 5g</t>
  </si>
  <si>
    <t>Amlodipin 5mg</t>
  </si>
  <si>
    <t>Acetylleucine 500mg</t>
  </si>
  <si>
    <t>Carbamazepine 200mg</t>
  </si>
  <si>
    <t>Telmisartan 40mg</t>
  </si>
  <si>
    <t>Thiamazol 5mg</t>
  </si>
  <si>
    <t>Adrenalin 1mg/1ml</t>
  </si>
  <si>
    <t>Hyoscine butylbromide 20mg/1ml</t>
  </si>
  <si>
    <t>Peptide 215,2mg/1ml</t>
  </si>
  <si>
    <t>Dexamethason 5mg</t>
  </si>
  <si>
    <t>Lidocaine</t>
  </si>
  <si>
    <t>Meloxicam 15mg/1.5ml</t>
  </si>
  <si>
    <t>Nước cất 5ml</t>
  </si>
  <si>
    <t>Methylprednisolone 40mg</t>
  </si>
  <si>
    <t>Furosemid 20mg/2ml</t>
  </si>
  <si>
    <t>Acetylleucine 500mg/5ml</t>
  </si>
  <si>
    <t>Diclofenac 75mg/3ml</t>
  </si>
  <si>
    <t>Tobramycin  0.3%</t>
  </si>
  <si>
    <t>Tranexamic acid 500mg</t>
  </si>
  <si>
    <t>Glucose khan 25g</t>
  </si>
  <si>
    <t>Calci clorid 20mg, Kali clorid 30mg, Natri clorid 600mg, Natri lactat 310mg</t>
  </si>
  <si>
    <t>Natri clorid 0.9% 100ml</t>
  </si>
  <si>
    <t>Natri clorid 0.9%/500ml</t>
  </si>
  <si>
    <t>Paracetamol 1g/100ml</t>
  </si>
  <si>
    <t>Piracetam 12g/60ml</t>
  </si>
  <si>
    <t>Dextrose 25g, Dexpanthenol 250mg, Acid ascorbic 500 mg, Thiamin hydroclorid 125 mg, Nicotinamid 625 mg,Riboflavin 25mg,Pyridoxin 25mg</t>
  </si>
  <si>
    <t>Bismuth subsalicylate 262.5 mg</t>
  </si>
  <si>
    <t>Furosemide 40mg</t>
  </si>
  <si>
    <t>Trimetazidin 35mg</t>
  </si>
  <si>
    <t>Salbutamol 0.1mg/liều</t>
  </si>
  <si>
    <t>Spironolactone 25mg</t>
  </si>
  <si>
    <t>Vitamin C 500mg</t>
  </si>
  <si>
    <t>Diclofenac 50mg</t>
  </si>
  <si>
    <t>Diclofenac 75mg</t>
  </si>
  <si>
    <t>Apitor 20 H/30v</t>
  </si>
  <si>
    <t>Apival 80 H/28v</t>
  </si>
  <si>
    <t>Authisix H/60v</t>
  </si>
  <si>
    <t>Azoltel 400 H/1v</t>
  </si>
  <si>
    <t>Bambec 10 H/30v</t>
  </si>
  <si>
    <t>Betaserc 16 H/60v</t>
  </si>
  <si>
    <t>BROMHEXIN 8 H/200V</t>
  </si>
  <si>
    <t>Cadipredni 5 C/500v</t>
  </si>
  <si>
    <t>Concor 2.5 H/30v</t>
  </si>
  <si>
    <t>Cordaron 200 H/30v</t>
  </si>
  <si>
    <t>Coversyl 5 C/30v</t>
  </si>
  <si>
    <t>Coversyl Plus 5/1.25 C/30v</t>
  </si>
  <si>
    <t>Deworm 250 H/4v</t>
  </si>
  <si>
    <t>Diamiron 30 H/60v</t>
  </si>
  <si>
    <t>Diflucan 150 H/1v</t>
  </si>
  <si>
    <t>Digoxin 0.25 H/30v</t>
  </si>
  <si>
    <t>Duphalac H/20g</t>
  </si>
  <si>
    <t>Duspatalin Retard H/30v</t>
  </si>
  <si>
    <t>Efferalgan 500 sủi H/16v</t>
  </si>
  <si>
    <t>Efferalgan codein H/40v</t>
  </si>
  <si>
    <t>Elthon 50 H/20v</t>
  </si>
  <si>
    <t>ENTORIDUAL PLUS MS H/20 ống</t>
  </si>
  <si>
    <t>Exforge 10/160 H/28v</t>
  </si>
  <si>
    <t>Forlax H/20g</t>
  </si>
  <si>
    <t>Franilax 50/20 H/30v</t>
  </si>
  <si>
    <t>Galvus 50 H/28v</t>
  </si>
  <si>
    <t>Ginkgo Extra DV 140 H/60v</t>
  </si>
  <si>
    <t>Hoạt huyết dưỡng não Trapha H/100v</t>
  </si>
  <si>
    <t>Imdur 60 H/30v</t>
  </si>
  <si>
    <t>Jedept MS H/60v</t>
  </si>
  <si>
    <t>Kẹo Bảo Thanh xanh H/20 vỉ</t>
  </si>
  <si>
    <t>Ketoconazol 200 H/100v</t>
  </si>
  <si>
    <t>Kim tiền thảo</t>
  </si>
  <si>
    <t>Legalon 70 H/100v</t>
  </si>
  <si>
    <t>Levothyrox 100 H/30v</t>
  </si>
  <si>
    <t>Lsp-Linezolid H/30v</t>
  </si>
  <si>
    <t>Lyapi 100 H/30v</t>
  </si>
  <si>
    <t>Lyapi 50 H/100v</t>
  </si>
  <si>
    <t>Medrol 16 H/30v</t>
  </si>
  <si>
    <t>Medrol 4 H/30v</t>
  </si>
  <si>
    <t>Meloxicam 7.5 H/100v</t>
  </si>
  <si>
    <t>Metomol 5 H/100v</t>
  </si>
  <si>
    <t>Montiget 5 H/14v</t>
  </si>
  <si>
    <t>Muscino H/100v</t>
  </si>
  <si>
    <t>Natri clorid 0.9% (nhỏ mắt, mũi)</t>
  </si>
  <si>
    <t>Nootropil 800 H/45v</t>
  </si>
  <si>
    <t>No-spa 80 forte H/20v</t>
  </si>
  <si>
    <t>Perimirane 10 H/40v</t>
  </si>
  <si>
    <t>Phosphalugel H/26 gói</t>
  </si>
  <si>
    <t>Phun khí dung Combivent H/10A</t>
  </si>
  <si>
    <t>Phun khí dung Pulmicort H/20A</t>
  </si>
  <si>
    <t>Phun khí dung Ventolin 5 H/30A</t>
  </si>
  <si>
    <t>Pizar 6 H/4v</t>
  </si>
  <si>
    <t>Procopralan 5 H/56v</t>
  </si>
  <si>
    <t>Smecta H/30 gói</t>
  </si>
  <si>
    <t>Solupred 20 C/20v</t>
  </si>
  <si>
    <t>Sorbitol 5g H/20g</t>
  </si>
  <si>
    <t>Stadovas 5 H/30v</t>
  </si>
  <si>
    <t>Tanganil 500 H/30v</t>
  </si>
  <si>
    <t>Tegretol 200 H/50v</t>
  </si>
  <si>
    <t>Thyrozol 5 H/100v</t>
  </si>
  <si>
    <t>Tiêm Buscopan 20 H/10 ống</t>
  </si>
  <si>
    <t>Tiêm Calci Clorid 500mg/5ml</t>
  </si>
  <si>
    <t>Tiêm Cerebrolysin 10ml H/5A</t>
  </si>
  <si>
    <t>Tiêm Dexamethason 5mg H/50A</t>
  </si>
  <si>
    <t>Tiêm Lidocain Kabi H/100A</t>
  </si>
  <si>
    <t>Tiêm Mobic H/5A</t>
  </si>
  <si>
    <t>Tiêm Nexium 40</t>
  </si>
  <si>
    <t>Tiêm nước cất H/50A</t>
  </si>
  <si>
    <t>Tiêm Siutamid 10 H/10A</t>
  </si>
  <si>
    <t>Tiêm Solu-Medrol 40</t>
  </si>
  <si>
    <t>Tiêm Suopinchon H/10A</t>
  </si>
  <si>
    <t>Tiêm Tanganil H/5A</t>
  </si>
  <si>
    <t>Tiêm Voltaren 75mg/3ml H/5A</t>
  </si>
  <si>
    <t>TOBREX NHỎ MẮT 5ML</t>
  </si>
  <si>
    <t>Truyền aminoplasma 5% 250ml</t>
  </si>
  <si>
    <t>Truyền Glucose 5%/ 500ml</t>
  </si>
  <si>
    <t>Truyền Lactate ringer 500ml</t>
  </si>
  <si>
    <t>Truyền Natri clorid 100ml</t>
  </si>
  <si>
    <t>Truyền Natri Clorid 500ml</t>
  </si>
  <si>
    <t>Truyền paracetamol 1g/100ml</t>
  </si>
  <si>
    <t>Truyền Piracetam 12g/60ml</t>
  </si>
  <si>
    <t>Truyền Vitaplex 500ml</t>
  </si>
  <si>
    <t>Ulcersep H/100v</t>
  </si>
  <si>
    <t>Vastarel 35 MR H/60v</t>
  </si>
  <si>
    <t>Ventolin xịt</t>
  </si>
  <si>
    <t>Verospiron 25 H/20v</t>
  </si>
  <si>
    <t>Voltaren 50 H/100v</t>
  </si>
  <si>
    <t>Voltaren 75mg H/100v</t>
  </si>
  <si>
    <t>ZinC H/100v</t>
  </si>
  <si>
    <t>Plavix 75mg H/28V</t>
  </si>
  <si>
    <t>Kháng Histamin</t>
  </si>
  <si>
    <t>Telfast 180mg H/30V</t>
  </si>
  <si>
    <t>Tavanic 500mg H/5V</t>
  </si>
  <si>
    <t>Daflon 500mg H/60V</t>
  </si>
  <si>
    <t>LevoDHG 500mg H/30V</t>
  </si>
  <si>
    <t>Giãn cơ</t>
  </si>
  <si>
    <t>Savi Eperison 50mg H50/V</t>
  </si>
  <si>
    <t>Mỡ máu</t>
  </si>
  <si>
    <t>Apitor 10 H/30V</t>
  </si>
  <si>
    <t>Nexium Mups 40mg H/14V</t>
  </si>
  <si>
    <t>Esomeprazole Stada 40mg H/20V</t>
  </si>
  <si>
    <t>Nexium Mups 20mg H/14V</t>
  </si>
  <si>
    <t>Dị ứng</t>
  </si>
  <si>
    <t>Clorpheniramin 4mg Khapharco H/200V</t>
  </si>
  <si>
    <t>Augmentin SR 1000/62.5mg Hanoi Pharma H/28V</t>
  </si>
  <si>
    <t xml:space="preserve">Vitamin </t>
  </si>
  <si>
    <t>Zitromax 500mg H/3V</t>
  </si>
  <si>
    <t>Kí sinh trùng</t>
  </si>
  <si>
    <t>Calcium, Vitamin D3</t>
  </si>
  <si>
    <t>Vitamin</t>
  </si>
  <si>
    <t>Betahistin 24mg</t>
  </si>
  <si>
    <t>Betaserc 24 H/50v</t>
  </si>
  <si>
    <t>Lactobacillus acidophilus</t>
  </si>
  <si>
    <t>Probio H/14 gói</t>
  </si>
  <si>
    <t xml:space="preserve">Giảm đau </t>
  </si>
  <si>
    <t>Kháng viêm</t>
  </si>
  <si>
    <t>Camoas 200mg H30/V</t>
  </si>
  <si>
    <t>Tiết niệu</t>
  </si>
  <si>
    <t>Bôi da</t>
  </si>
  <si>
    <t>Kháng nấm</t>
  </si>
  <si>
    <t>Gout</t>
  </si>
  <si>
    <t>Dochicin  H/20V</t>
  </si>
  <si>
    <t>Giảm đau</t>
  </si>
  <si>
    <t>Giảm đau hạ sốt</t>
  </si>
  <si>
    <t>Khoáng chất</t>
  </si>
  <si>
    <t>Fasmat 80 Savipharm H/30V</t>
  </si>
  <si>
    <t>Lipanthyl 200 M/H30V</t>
  </si>
  <si>
    <t>Vitamin, khoáng chất</t>
  </si>
  <si>
    <t>Feliccare H/100V</t>
  </si>
  <si>
    <t>Lợi tiểu</t>
  </si>
  <si>
    <t>Đường huyết</t>
  </si>
  <si>
    <t>Ciprobay 500mg Bayer H/10V</t>
  </si>
  <si>
    <t>Glucophage 1000 H/30V</t>
  </si>
  <si>
    <t>Zinnat tablets 500mg Sandoz H/10V</t>
  </si>
  <si>
    <t>Tuyến giáp</t>
  </si>
  <si>
    <t>Cozaar 50mg Organon H/28V</t>
  </si>
  <si>
    <t>Colosar-Denk 50/12.5 H/28V</t>
  </si>
  <si>
    <t>Losartan 50mg Khapharco H/100V</t>
  </si>
  <si>
    <t>SaViLifen 600 H/30V</t>
  </si>
  <si>
    <t>Ultracet H/30V</t>
  </si>
  <si>
    <t>Metronidazole 500mg</t>
  </si>
  <si>
    <t>Metronidazole Stada 500mg H/20V</t>
  </si>
  <si>
    <t>Metronidazol 500mg Vacopharm H/100V</t>
  </si>
  <si>
    <t>Kẹo ngậm</t>
  </si>
  <si>
    <t>NovoMix 30 FlexPen H/5 cây</t>
  </si>
  <si>
    <t>Glomoti-M Glomed H/100V</t>
  </si>
  <si>
    <t>Nhỏ mắt, mũi</t>
  </si>
  <si>
    <t xml:space="preserve">Thần kinh </t>
  </si>
  <si>
    <t>Savi Gabapentin 300 H/30V</t>
  </si>
  <si>
    <t>Gabapentin 300mg</t>
  </si>
  <si>
    <t>Neurontin 300 H/100V</t>
  </si>
  <si>
    <t>Adalat LA 30 Bayer</t>
  </si>
  <si>
    <t>Nifedipin 30mg</t>
  </si>
  <si>
    <t>Sucralfate gel</t>
  </si>
  <si>
    <t>Propranolol Teva 40mg H/50V</t>
  </si>
  <si>
    <t>Telmisartan 80mg</t>
  </si>
  <si>
    <t>TELMISARTAN 80 (TV. PHARM) H/100V</t>
  </si>
  <si>
    <t>Thuốc tiêm</t>
  </si>
  <si>
    <t>Calci clorid dihydrat 500 mg / 5ml</t>
  </si>
  <si>
    <t>Adrenalin H/10A</t>
  </si>
  <si>
    <t>Tiêm Furosemid 20mg/2ml Vinphaco H/10A</t>
  </si>
  <si>
    <t>Nhỏ mắt</t>
  </si>
  <si>
    <t>Cầm máu</t>
  </si>
  <si>
    <t>Dịch truyền</t>
  </si>
  <si>
    <t>Truyền Polymina Kabi 250ml</t>
  </si>
  <si>
    <t>Lasix 40mg Tablet H/12V</t>
  </si>
  <si>
    <t>Pantoprazole 40 mg</t>
  </si>
  <si>
    <t>Pantostad 40 H/28V</t>
  </si>
  <si>
    <t>Pantoloc 40mg H/7V</t>
  </si>
  <si>
    <t>Forxiga AstraZeneca H/28V</t>
  </si>
  <si>
    <t>Dapagliflozin 10mg</t>
  </si>
  <si>
    <t>Dapagliflozin Tablet 10mg Macleods</t>
  </si>
  <si>
    <t>KABI</t>
  </si>
  <si>
    <t>Hãng</t>
  </si>
  <si>
    <t>IVC</t>
  </si>
  <si>
    <t>Servier</t>
  </si>
  <si>
    <t>AZ</t>
  </si>
  <si>
    <t>BMS</t>
  </si>
  <si>
    <t>Diamiron 60 H/30v</t>
  </si>
  <si>
    <t>Glucophage 500 H/60v</t>
  </si>
  <si>
    <t>Merck</t>
  </si>
  <si>
    <t>Abbott</t>
  </si>
  <si>
    <t>VIDIPHA</t>
  </si>
  <si>
    <t>Stella</t>
  </si>
  <si>
    <t>Actavic</t>
  </si>
  <si>
    <t>Takeda</t>
  </si>
  <si>
    <t>A.T Sucralfate 1g</t>
  </si>
  <si>
    <t>AT</t>
  </si>
  <si>
    <t>Trimebutin 200mg</t>
  </si>
  <si>
    <t>Agitritine 200mg</t>
  </si>
  <si>
    <t>Agimexpharm</t>
  </si>
  <si>
    <t>Sanofi</t>
  </si>
  <si>
    <t>Bayer</t>
  </si>
  <si>
    <t>Davi</t>
  </si>
  <si>
    <t>Zhekof 40mg</t>
  </si>
  <si>
    <t>Stella Valsartan 80 H/30v</t>
  </si>
  <si>
    <t>GSK</t>
  </si>
  <si>
    <t>Metformin 850mg</t>
  </si>
  <si>
    <t>Metformin Stella 850mg H/60V</t>
  </si>
  <si>
    <t>Acyclovir 800 H/50v</t>
  </si>
  <si>
    <t>Adamed</t>
  </si>
  <si>
    <t>Polzycyna H/3v</t>
  </si>
  <si>
    <t>BI</t>
  </si>
  <si>
    <t>Levocetirizine 5mg</t>
  </si>
  <si>
    <t>Khaphaco</t>
  </si>
  <si>
    <t>Clanzen Khaphaco 10 H/100v</t>
  </si>
  <si>
    <t>PFIZER</t>
  </si>
  <si>
    <t>PACLOVIR BÔI 5GR</t>
  </si>
  <si>
    <t>APIMED</t>
  </si>
  <si>
    <t>SANDOZ</t>
  </si>
  <si>
    <t>Cammic 500 H/100v</t>
  </si>
  <si>
    <t>vinphaco</t>
  </si>
  <si>
    <t>viatris</t>
  </si>
  <si>
    <t>Prospan 85ml siro</t>
  </si>
  <si>
    <t>Engelhard</t>
  </si>
  <si>
    <t>Alpha DHG</t>
  </si>
  <si>
    <t>DHG</t>
  </si>
  <si>
    <t>chymotrypsin 4200IU</t>
  </si>
  <si>
    <t>Paracetamol Stella 500mg H/100V</t>
  </si>
  <si>
    <t>Tamisynt 500mg H/10V</t>
  </si>
  <si>
    <t>Medochemie</t>
  </si>
  <si>
    <t>SAVI</t>
  </si>
  <si>
    <t>Meseca xịt</t>
  </si>
  <si>
    <t>Meraplion</t>
  </si>
  <si>
    <t>Etodagim</t>
  </si>
  <si>
    <t>Etodolac 200mg</t>
  </si>
  <si>
    <t>Buscopan Sanofi</t>
  </si>
  <si>
    <t>Dextromethorphan 30mg</t>
  </si>
  <si>
    <t>Dextromethorphan 30mg H/100V</t>
  </si>
  <si>
    <t>Vitamin B1 100mg,Vitamin B6 200mg,Vitamin B12 200mcg</t>
  </si>
  <si>
    <t>Scanneuron H/100v</t>
  </si>
  <si>
    <t>Kali clorid 500mg</t>
  </si>
  <si>
    <t>Nadyphar</t>
  </si>
  <si>
    <t>Kali clorid 500mg H/100v</t>
  </si>
  <si>
    <t>Pierre Fabre</t>
  </si>
  <si>
    <t>Novartis</t>
  </si>
  <si>
    <t>Stadnex Stella 20mg H/20V</t>
  </si>
  <si>
    <t>AtorHASAN 20 Hasan H/100V</t>
  </si>
  <si>
    <t>Hasan</t>
  </si>
  <si>
    <t>Magnesi-B6</t>
  </si>
  <si>
    <t>DANAPHA</t>
  </si>
  <si>
    <t>Agi-Vita C 500 H/100v</t>
  </si>
  <si>
    <r>
      <t>Lipitor 20mg</t>
    </r>
    <r>
      <rPr>
        <sz val="12"/>
        <color rgb="FF555555"/>
        <rFont val="Times New Roman"/>
        <family val="1"/>
      </rPr>
      <t> </t>
    </r>
    <r>
      <rPr>
        <sz val="12"/>
        <color rgb="FF000000"/>
        <rFont val="Times New Roman"/>
        <family val="1"/>
      </rPr>
      <t>H/30V</t>
    </r>
  </si>
  <si>
    <t>Acid folic (0.35mg), Sắt (50mg)</t>
  </si>
  <si>
    <t>Tardyferon B9 H/30v</t>
  </si>
  <si>
    <t>Albumin</t>
  </si>
  <si>
    <t>Human Albumin Baxter 200 g/l 20% 50ml</t>
  </si>
  <si>
    <t>Truyền Human Albumin Takeda 200g/l 50ml</t>
  </si>
  <si>
    <t>Kim luồn</t>
  </si>
  <si>
    <t>Vasofix Safety 22G 0.9x25mmm</t>
  </si>
  <si>
    <t>B.Braun</t>
  </si>
  <si>
    <t>Bộ dây truyền dịch dùng trọng lực</t>
  </si>
  <si>
    <t xml:space="preserve">Intrafix primeline </t>
  </si>
  <si>
    <t>Metformin Stella 500mg H/60V</t>
  </si>
  <si>
    <t>Salbutamol 2mg</t>
  </si>
  <si>
    <t>Sabumol Dopharma 2 H/100v</t>
  </si>
  <si>
    <t>Apifexo 180 H/30v</t>
  </si>
  <si>
    <t>Fluconazole Stella 150mg H/1v</t>
  </si>
  <si>
    <t>Curam 1000mg H/80v</t>
  </si>
  <si>
    <t>Medoxasol 500 H/10v</t>
  </si>
  <si>
    <t>Mobic 7.5 H/20v</t>
  </si>
  <si>
    <t>Suy van</t>
  </si>
  <si>
    <t>Ceftriaxone 1g</t>
  </si>
  <si>
    <t>Tiêm Cefizone 1g H/10A</t>
  </si>
  <si>
    <t>Methylprednisolone Acetate 40mg</t>
  </si>
  <si>
    <t>Tiêm Depo-Medrol 40/1ml</t>
  </si>
  <si>
    <t>Spectinomycin 2g</t>
  </si>
  <si>
    <t>Tiêm Spectimed</t>
  </si>
  <si>
    <t>Kim tiền thảo H/100v</t>
  </si>
  <si>
    <t>Medisun</t>
  </si>
  <si>
    <t>Bismuth subcitrate 120mg</t>
  </si>
  <si>
    <t>Trymo H/112v</t>
  </si>
  <si>
    <t>Raptakos</t>
  </si>
  <si>
    <t>Haxium 40 H/30v</t>
  </si>
  <si>
    <t>Aspirin Stella 81mg H/56V</t>
  </si>
  <si>
    <t>Dogrel Savi H/30v</t>
  </si>
  <si>
    <t>Savi</t>
  </si>
  <si>
    <t>SaviLosartan 50 H/30v</t>
  </si>
  <si>
    <t>Số lượng (Chai/hộp)</t>
  </si>
  <si>
    <t>Giá bán 1 chai/hộp</t>
  </si>
  <si>
    <t>Gia·
nhập</t>
  </si>
  <si>
    <t>Giá bán 1 đơn vị (viên)</t>
  </si>
  <si>
    <t>LSX</t>
  </si>
  <si>
    <t>0315002</t>
  </si>
  <si>
    <t>86UDE020</t>
  </si>
  <si>
    <t>F0126033107</t>
  </si>
  <si>
    <t>14UI26</t>
  </si>
  <si>
    <t>26D27G8A05</t>
  </si>
  <si>
    <t>26C03K835A</t>
  </si>
  <si>
    <t>Y19708</t>
  </si>
  <si>
    <t>Y17859 (2), Y17830 (1)</t>
  </si>
  <si>
    <t>020126</t>
  </si>
  <si>
    <t>031025</t>
  </si>
  <si>
    <t>25K133A</t>
  </si>
  <si>
    <t>0141125</t>
  </si>
  <si>
    <t>U92M</t>
  </si>
  <si>
    <t>FVH1603</t>
  </si>
  <si>
    <t>VH2K</t>
  </si>
  <si>
    <t>PX5729</t>
  </si>
  <si>
    <t>GP9U</t>
  </si>
  <si>
    <t>ITA6A5J</t>
  </si>
  <si>
    <t>A09106</t>
  </si>
  <si>
    <t>E9D124</t>
  </si>
  <si>
    <t>G62318</t>
  </si>
  <si>
    <t>LL0681</t>
  </si>
  <si>
    <t>MC3872</t>
  </si>
  <si>
    <t>25100B</t>
  </si>
  <si>
    <t>00526</t>
  </si>
  <si>
    <t>VUU07A</t>
  </si>
  <si>
    <t>5G3E6</t>
  </si>
  <si>
    <t>060324</t>
  </si>
  <si>
    <t>VN-19522-15</t>
  </si>
  <si>
    <t>ZRVH</t>
  </si>
  <si>
    <t>38895YQ</t>
  </si>
  <si>
    <t>060825</t>
  </si>
  <si>
    <t>GA2320</t>
  </si>
  <si>
    <t>4192C60100</t>
  </si>
  <si>
    <t>2604871</t>
  </si>
  <si>
    <t>SW427</t>
  </si>
  <si>
    <t>BKX94R2</t>
  </si>
  <si>
    <t>050526</t>
  </si>
  <si>
    <t>5G36M</t>
  </si>
  <si>
    <t>Date</t>
  </si>
  <si>
    <t>31/3/2029</t>
  </si>
  <si>
    <t>31/3/2028</t>
  </si>
  <si>
    <t>31/01/2029</t>
  </si>
  <si>
    <t>13/01/2031</t>
  </si>
  <si>
    <t>17/09/2028</t>
  </si>
  <si>
    <t>13/5/2029</t>
  </si>
  <si>
    <t>21/10/28</t>
  </si>
  <si>
    <t>16/12/2028</t>
  </si>
  <si>
    <t>31/08/2028</t>
  </si>
  <si>
    <t>19/11/2028</t>
  </si>
  <si>
    <t>14/05/2028</t>
  </si>
  <si>
    <t>23/7/2028</t>
  </si>
  <si>
    <t>15/11/2028</t>
  </si>
  <si>
    <t>30/11/2027</t>
  </si>
  <si>
    <t>23/3/2028</t>
  </si>
  <si>
    <t>20/11/2027</t>
  </si>
  <si>
    <t>22/09/2028</t>
  </si>
  <si>
    <t>23/06/2027</t>
  </si>
  <si>
    <t>24/11/2028</t>
  </si>
  <si>
    <t>29/01/2026</t>
  </si>
  <si>
    <t>30/09/2026</t>
  </si>
  <si>
    <t>25/03/2029</t>
  </si>
  <si>
    <t>14/06/2029</t>
  </si>
  <si>
    <t>29/12/2027</t>
  </si>
  <si>
    <t>26/1/2027</t>
  </si>
  <si>
    <t>22/4/2029</t>
  </si>
  <si>
    <t>20/04/2029</t>
  </si>
  <si>
    <t>28/1/2029</t>
  </si>
  <si>
    <t>29/5/2029</t>
  </si>
  <si>
    <t>24/12/2027</t>
  </si>
  <si>
    <t>Sadapron 300 H/30v</t>
  </si>
  <si>
    <t>Remedica</t>
  </si>
  <si>
    <t>Glucosamine 500mg</t>
  </si>
  <si>
    <t>Vorifend 500</t>
  </si>
  <si>
    <t>Truyền aminoplasma 10% 250ml</t>
  </si>
  <si>
    <t>ZinC H/60v</t>
  </si>
  <si>
    <t>Alzental 400 H/10v</t>
  </si>
  <si>
    <t>Daewoo</t>
  </si>
  <si>
    <t>Ebarsun H/4v</t>
  </si>
  <si>
    <t>Sunrise</t>
  </si>
  <si>
    <t>Agifuros 40 H/250v</t>
  </si>
  <si>
    <t>Entacron 25 H/30v</t>
  </si>
  <si>
    <t>Sterolow 20 H/30v</t>
  </si>
  <si>
    <t>Amitriptilin 25 H/100v</t>
  </si>
  <si>
    <t>Hoạt huyết dưỡng não H/100v</t>
  </si>
  <si>
    <t>Khaihaphaco</t>
  </si>
  <si>
    <t>Sarariz H/60v</t>
  </si>
  <si>
    <t>Kyung Dong</t>
  </si>
  <si>
    <t>Pracetam 800 H/90v</t>
  </si>
  <si>
    <t>Tebantin 300 H/50v</t>
  </si>
  <si>
    <t>Richter</t>
  </si>
  <si>
    <t>Gaptinew H/100v</t>
  </si>
  <si>
    <t>Dexamethason 4mg</t>
  </si>
  <si>
    <t xml:space="preserve">Tiêm Dexamethason 4mg </t>
  </si>
  <si>
    <t xml:space="preserve">Tiêm Diclophenac 75mg/3ml </t>
  </si>
  <si>
    <t>Tiêm Esogas 40</t>
  </si>
  <si>
    <t>Bidiphar</t>
  </si>
  <si>
    <t>Tiêm Buston 20mg/mL</t>
  </si>
  <si>
    <t>PIC/S</t>
  </si>
  <si>
    <t>Tiêm Soli-Medon 40</t>
  </si>
  <si>
    <t>Metoclopranid 10mg Kani</t>
  </si>
  <si>
    <t>Kabi</t>
  </si>
  <si>
    <t>CPC1HN</t>
  </si>
  <si>
    <t>Meyerflavo 200 H/100v</t>
  </si>
  <si>
    <t>Meyer</t>
  </si>
  <si>
    <t>Natri alginate 500mg, Natri bicarbonate 257mg, Calci carbonate 160mg</t>
  </si>
  <si>
    <t>Gaviscon H/24 gói</t>
  </si>
  <si>
    <t>Reckitt</t>
  </si>
  <si>
    <t>Probiotic</t>
  </si>
  <si>
    <t>Biosubtyl-II H/100v</t>
  </si>
  <si>
    <t>Biopharco</t>
  </si>
  <si>
    <t>Ipsen</t>
  </si>
  <si>
    <t>Domreme 10 H/100v</t>
  </si>
  <si>
    <t>Enterogemina</t>
  </si>
  <si>
    <t>Silymax complex H/60v</t>
  </si>
  <si>
    <t>Mediplantex</t>
  </si>
  <si>
    <t>Simethicon 80mg</t>
  </si>
  <si>
    <t xml:space="preserve">Mogastic 80 nhai H/100v </t>
  </si>
  <si>
    <t>Savxiga 10</t>
  </si>
  <si>
    <t>Calcium 1250mg, Vitamin D3 125 dvqt</t>
  </si>
  <si>
    <t>Caldihasan</t>
  </si>
  <si>
    <t>030326</t>
  </si>
  <si>
    <t>27/03/2029</t>
  </si>
  <si>
    <t>010126</t>
  </si>
  <si>
    <t>26/01/2029</t>
  </si>
  <si>
    <t>AZT5032</t>
  </si>
  <si>
    <t>0031225</t>
  </si>
  <si>
    <t>18/04/2029</t>
  </si>
  <si>
    <t>14/05/2029</t>
  </si>
  <si>
    <t>091125</t>
  </si>
  <si>
    <t>18/11/2028</t>
  </si>
  <si>
    <t>020526</t>
  </si>
  <si>
    <t>19/05/2029</t>
  </si>
  <si>
    <t>KH002</t>
  </si>
  <si>
    <t>T61213A</t>
  </si>
  <si>
    <t>041125</t>
  </si>
  <si>
    <t>25D023</t>
  </si>
  <si>
    <t>16/3/2029</t>
  </si>
  <si>
    <t>19/8/2028</t>
  </si>
  <si>
    <t>86TKA024</t>
  </si>
  <si>
    <t>14/10/2028</t>
  </si>
  <si>
    <t>0200</t>
  </si>
  <si>
    <t>AHN677</t>
  </si>
  <si>
    <t>26/10/2027</t>
  </si>
  <si>
    <t>11-26</t>
  </si>
  <si>
    <t>VN-19485-15</t>
  </si>
  <si>
    <t>28.03.2028</t>
  </si>
  <si>
    <t>KV003</t>
  </si>
  <si>
    <t>6I059</t>
  </si>
  <si>
    <t>D52734</t>
  </si>
  <si>
    <t>13/3/2028</t>
  </si>
  <si>
    <t>30/1/2029</t>
  </si>
  <si>
    <t>1/4/2028</t>
  </si>
  <si>
    <t>05226</t>
  </si>
  <si>
    <t>22/05/2029</t>
  </si>
  <si>
    <t>23/07/2026</t>
  </si>
  <si>
    <t>26/06/2026</t>
  </si>
  <si>
    <t>22/07/2026</t>
  </si>
  <si>
    <t>29/06/2026</t>
  </si>
  <si>
    <t xml:space="preserve"> </t>
  </si>
  <si>
    <t>14/07/2026</t>
  </si>
  <si>
    <t>Ngày nhập</t>
  </si>
  <si>
    <t>Long Châu / Pharmacity</t>
  </si>
  <si>
    <t>Mã thuốc</t>
  </si>
  <si>
    <t>31/04/2028</t>
  </si>
  <si>
    <t>21/05/2031</t>
  </si>
  <si>
    <t>đơn vị chẵn</t>
  </si>
  <si>
    <t>ĐƠN VỊ lẻ</t>
  </si>
  <si>
    <t>Hộp</t>
  </si>
  <si>
    <t>import danh mục</t>
  </si>
  <si>
    <t>Import 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</si>
</sst>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"/>
  </numFmts>
  <fonts count="12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555555"/>
      <name val="Times New Roman"/>
      <family val="1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64" fontId="0" fillId="0" borderId="0" xfId="1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6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6" fontId="1" fillId="0" borderId="1" xfId="0" quotePrefix="1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58AD-4B9D-C943-9074-D024CF783795}">
  <dimension ref="A1:S211"/>
  <sheetViews>
    <sheetView tabSelected="1" zoomScale="85" zoomScaleNormal="85" workbookViewId="0">
      <pane ySplit="1" topLeftCell="A2" activePane="bottomLeft" state="frozen"/>
      <selection pane="bottomLeft" activeCell="S2" sqref="S2"/>
    </sheetView>
  </sheetViews>
  <sheetFormatPr defaultColWidth="10.6640625" defaultRowHeight="15"/>
  <cols>
    <col min="2" max="2" width="19" hidden="1" customWidth="1"/>
    <col min="3" max="3" width="14.44140625" hidden="1" customWidth="1"/>
    <col min="4" max="4" width="38.109375" bestFit="1" customWidth="1"/>
    <col min="5" max="5" width="38.109375" hidden="1" customWidth="1"/>
    <col min="6" max="6" width="11.109375" customWidth="1"/>
    <col min="7" max="7" width="12.33203125" style="3" hidden="1" customWidth="1"/>
    <col min="8" max="8" width="28.44140625" style="3" hidden="1" customWidth="1"/>
    <col min="9" max="9" width="9.33203125" style="3" customWidth="1"/>
    <col min="10" max="10" width="18.88671875" style="17" bestFit="1" customWidth="1"/>
    <col min="11" max="11" width="21.109375" style="3" bestFit="1" customWidth="1"/>
    <col min="12" max="12" width="17.5546875" style="3" hidden="1" customWidth="1"/>
    <col min="13" max="13" width="18.77734375" style="18" bestFit="1" customWidth="1"/>
    <col min="14" max="14" width="10.6640625" style="17"/>
    <col min="15" max="15" width="16.109375" style="17" hidden="1" customWidth="1"/>
    <col min="16" max="16" width="20.109375" style="17" hidden="1" customWidth="1"/>
    <col min="18" max="18" width="0" hidden="1" customWidth="1"/>
  </cols>
  <sheetData>
    <row r="1" spans="1:19" s="16" customFormat="1" ht="31.5">
      <c r="A1" s="16" t="s">
        <v>598</v>
      </c>
      <c r="B1" s="10" t="s">
        <v>0</v>
      </c>
      <c r="C1" s="10" t="s">
        <v>1</v>
      </c>
      <c r="D1" s="10" t="s">
        <v>2</v>
      </c>
      <c r="E1" s="10" t="s">
        <v>601</v>
      </c>
      <c r="F1" s="10" t="s">
        <v>602</v>
      </c>
      <c r="G1" s="10" t="s">
        <v>325</v>
      </c>
      <c r="H1" s="10" t="s">
        <v>597</v>
      </c>
      <c r="I1" s="26" t="s">
        <v>432</v>
      </c>
      <c r="J1" s="10" t="s">
        <v>430</v>
      </c>
      <c r="K1" s="10" t="s">
        <v>433</v>
      </c>
      <c r="L1" s="10" t="s">
        <v>431</v>
      </c>
      <c r="M1" s="10" t="s">
        <v>434</v>
      </c>
      <c r="N1" s="10" t="s">
        <v>474</v>
      </c>
      <c r="O1" s="10" t="s">
        <v>596</v>
      </c>
      <c r="P1" s="10"/>
      <c r="Q1" s="15"/>
      <c r="R1" s="16" t="s">
        <v>604</v>
      </c>
      <c r="S1" s="16" t="s">
        <v>605</v>
      </c>
    </row>
    <row r="2" spans="1:19" ht="15.75">
      <c r="A2">
        <v>1</v>
      </c>
      <c r="B2" s="4" t="s">
        <v>270</v>
      </c>
      <c r="C2" s="4" t="s">
        <v>10</v>
      </c>
      <c r="D2" s="4" t="s">
        <v>359</v>
      </c>
      <c r="E2" s="4" t="s">
        <v>603</v>
      </c>
      <c r="F2" s="4" t="str">
        <f>IF(RIGHT(D2,1)="v","Viên","")</f>
        <v/>
      </c>
      <c r="G2" s="4" t="s">
        <v>360</v>
      </c>
      <c r="H2" s="11">
        <v>32000</v>
      </c>
      <c r="I2" s="11">
        <v>12000</v>
      </c>
      <c r="J2" s="4">
        <v>2</v>
      </c>
      <c r="K2" s="11">
        <v>25000</v>
      </c>
      <c r="L2" s="11">
        <v>25000</v>
      </c>
      <c r="M2" s="5" t="s">
        <v>435</v>
      </c>
      <c r="N2" s="32">
        <v>46576</v>
      </c>
      <c r="O2" s="13">
        <v>46241</v>
      </c>
      <c r="P2" s="30">
        <f>I2*J2</f>
        <v>24000</v>
      </c>
      <c r="Q2" s="9" t="str">
        <f>IF(ISNUMBER(N2),TEXT(N2,"yyyy-mm-dd"),TEXT(DATE(RIGHT(N2,4),MID(N2,FIND("/",N2)+1,FIND("/",N2,FIND("/",N2)+1)-FIND("/",N2)-1),LEFT(N2,FIND("/",N2)-1)),"yyyy-mm-dd"))</f>
        <v>2027-07-08</v>
      </c>
      <c r="R2" t="str">
        <f>"INSERT INTO `nhathuoc_bsphong`.`dm_thuoc` (`ma_thuoc`, `ten_thuoc`, `hoat_chat`, `don_vi_chan`, `he_so`, `don_vi_le`, `nhom_thuoc`, `gia_nhap`, `gia_ban`) VALUES ('" &amp; A2 &amp; "', '" &amp; D2 &amp; "', '" &amp; C2 &amp; "', '" &amp; E2 &amp; "', '1', ' " &amp; F2 &amp; " ', '  " &amp; B2 &amp; " ', '" &amp; K2 &amp; "', '" &amp; K2 &amp; "');"</f>
        <v>INSERT INTO `nhathuoc_bsphong`.`dm_thuoc` (`ma_thuoc`, `ten_thuoc`, `hoat_chat`, `don_vi_chan`, `he_so`, `don_vi_le`, `nhom_thuoc`, `gia_nhap`, `gia_ban`) VALUES ('1', 'PACLOVIR BÔI 5GR', 'Acyclorvir', 'Hộp', '1', '  ', '  Bôi da ', '25000', '25000');</v>
      </c>
      <c r="S2" t="str">
        <f>"INSERT INTO `nhathuoc_bsphong`.`tbl_nk_ct` (`ma_phieu_nhap`, `ma_thuoc`, `ten_thuoc`, `lsx`, `don_vi_le`, `so_luong`, `don_gia`, `thanh_tien`, `hsd`) VALUES ('NK001', '" &amp; A2 &amp; "', '', '" &amp; M2 &amp; "', 'donvi', '"&amp; J2 &amp;"', '0', '0', '"&amp; Q2 &amp;"');"</f>
        <v>INSERT INTO `nhathuoc_bsphong`.`tbl_nk_ct` (`ma_phieu_nhap`, `ma_thuoc`, `ten_thuoc`, `lsx`, `don_vi_le`, `so_luong`, `don_gia`, `thanh_tien`, `hsd`) VALUES ('NK001', '1', '', '0315002', 'donvi', '2', '0', '0', '2027-07-08');</v>
      </c>
    </row>
    <row r="3" spans="1:19" ht="15.75">
      <c r="A3">
        <v>2</v>
      </c>
      <c r="B3" s="4" t="s">
        <v>314</v>
      </c>
      <c r="C3" s="4" t="s">
        <v>135</v>
      </c>
      <c r="D3" s="12" t="s">
        <v>362</v>
      </c>
      <c r="E3" s="4" t="s">
        <v>603</v>
      </c>
      <c r="F3" s="4" t="str">
        <f t="shared" ref="F3:F66" si="0">IF(RIGHT(D3,1)="v","Viên","")</f>
        <v>Viên</v>
      </c>
      <c r="G3" s="12" t="s">
        <v>363</v>
      </c>
      <c r="H3" s="11">
        <v>230000</v>
      </c>
      <c r="I3" s="11">
        <v>200000</v>
      </c>
      <c r="J3" s="4">
        <v>1</v>
      </c>
      <c r="K3" s="11">
        <v>2350</v>
      </c>
      <c r="L3" s="11">
        <v>235000</v>
      </c>
      <c r="M3" s="4">
        <v>262001</v>
      </c>
      <c r="N3" s="32">
        <v>47454</v>
      </c>
      <c r="O3" s="13">
        <v>46241</v>
      </c>
      <c r="P3" s="30">
        <f t="shared" ref="P3:P66" si="1">I3*J3</f>
        <v>200000</v>
      </c>
      <c r="Q3" s="9" t="str">
        <f t="shared" ref="Q3:Q66" si="2">IF(ISNUMBER(N3),TEXT(N3,"yyyy-mm-dd"),TEXT(DATE(RIGHT(N3,4),MID(N3,FIND("/",N3)+1,FIND("/",N3,FIND("/",N3)+1)-FIND("/",N3)-1),LEFT(N3,FIND("/",N3)-1)),"yyyy-mm-dd"))</f>
        <v>2029-12-02</v>
      </c>
      <c r="R3" t="str">
        <f t="shared" ref="R3:R66" si="3">"INSERT INTO `nhathuoc_bsphong`.`dm_thuoc` (`ma_thuoc`, `ten_thuoc`, `hoat_chat`, `don_vi_chan`, `he_so`, `don_vi_le`, `nhom_thuoc`, `gia_nhap`, `gia_ban`) VALUES ('" &amp; A3 &amp; "', '" &amp; D3 &amp; "', '" &amp; C3 &amp; "', '" &amp; E3 &amp; "', '1', ' " &amp; F3 &amp; " ', '  " &amp; B3 &amp; " ', '" &amp; K3 &amp; "', '" &amp; K3 &amp; "');"</f>
        <v>INSERT INTO `nhathuoc_bsphong`.`dm_thuoc` (`ma_thuoc`, `ten_thuoc`, `hoat_chat`, `don_vi_chan`, `he_so`, `don_vi_le`, `nhom_thuoc`, `gia_nhap`, `gia_ban`) VALUES ('2', 'Cammic 500 H/100v', 'Tranexamic acid 500mg', 'Hộp', '1', ' Viên ', '  Cầm máu ', '2350', '2350');</v>
      </c>
      <c r="S3" t="str">
        <f t="shared" ref="S3:S6" si="4">"INSERT INTO `nhathuoc_bsphong`.`tbl_nk_ct` (`ma_phieu_nhap`, `ma_thuoc`, `ten_thuoc`, `lsx`, `don_vi_le`, `so_luong`, `don_gia`, `thanh_tien`, `hsd`) VALUES ('NK001', '" &amp; A3 &amp; "', '', '" &amp; M3 &amp; "', 'donvi', '"&amp; J3 &amp;"', '0', '0', '"&amp; Q3 &amp;"');"</f>
        <v>INSERT INTO `nhathuoc_bsphong`.`tbl_nk_ct` (`ma_phieu_nhap`, `ma_thuoc`, `ten_thuoc`, `lsx`, `don_vi_le`, `so_luong`, `don_gia`, `thanh_tien`, `hsd`) VALUES ('NK001', '2', '', '262001', 'donvi', '1', '0', '0', '2029-12-02');</v>
      </c>
    </row>
    <row r="4" spans="1:19" ht="15.75">
      <c r="A4">
        <v>3</v>
      </c>
      <c r="B4" s="4" t="s">
        <v>14</v>
      </c>
      <c r="C4" s="4" t="s">
        <v>15</v>
      </c>
      <c r="D4" s="4" t="s">
        <v>505</v>
      </c>
      <c r="E4" s="4" t="s">
        <v>603</v>
      </c>
      <c r="F4" s="4" t="str">
        <f t="shared" si="0"/>
        <v>Viên</v>
      </c>
      <c r="G4" s="4" t="s">
        <v>506</v>
      </c>
      <c r="H4" s="11">
        <v>110000</v>
      </c>
      <c r="I4" s="11">
        <v>95000</v>
      </c>
      <c r="J4" s="4">
        <v>3</v>
      </c>
      <c r="K4" s="11">
        <v>3667</v>
      </c>
      <c r="L4" s="11">
        <v>110000</v>
      </c>
      <c r="M4" s="4">
        <v>129908</v>
      </c>
      <c r="N4" s="32" t="s">
        <v>600</v>
      </c>
      <c r="O4" s="4" t="s">
        <v>590</v>
      </c>
      <c r="P4" s="30">
        <f t="shared" si="1"/>
        <v>285000</v>
      </c>
      <c r="Q4" s="9" t="str">
        <f t="shared" si="2"/>
        <v>2031-05-21</v>
      </c>
      <c r="R4" t="str">
        <f t="shared" si="3"/>
        <v>INSERT INTO `nhathuoc_bsphong`.`dm_thuoc` (`ma_thuoc`, `ten_thuoc`, `hoat_chat`, `don_vi_chan`, `he_so`, `don_vi_le`, `nhom_thuoc`, `gia_nhap`, `gia_ban`) VALUES ('3', 'Sadapron 300 H/30v', 'Allopurinol 300mg', 'Hộp', '1', ' Viên ', '  Cơ xương khớp ', '3667', '3667');</v>
      </c>
      <c r="S4" t="str">
        <f t="shared" si="4"/>
        <v>INSERT INTO `nhathuoc_bsphong`.`tbl_nk_ct` (`ma_phieu_nhap`, `ma_thuoc`, `ten_thuoc`, `lsx`, `don_vi_le`, `so_luong`, `don_gia`, `thanh_tien`, `hsd`) VALUES ('NK001', '3', '', '129908', 'donvi', '3', '0', '0', '2031-05-21');</v>
      </c>
    </row>
    <row r="5" spans="1:19" ht="15.75">
      <c r="A5">
        <v>4</v>
      </c>
      <c r="B5" s="4" t="s">
        <v>14</v>
      </c>
      <c r="C5" s="4" t="s">
        <v>507</v>
      </c>
      <c r="D5" s="12" t="s">
        <v>508</v>
      </c>
      <c r="E5" s="4" t="s">
        <v>603</v>
      </c>
      <c r="F5" s="4" t="str">
        <f t="shared" si="0"/>
        <v/>
      </c>
      <c r="G5" s="12" t="s">
        <v>335</v>
      </c>
      <c r="H5" s="11">
        <v>90000</v>
      </c>
      <c r="I5" s="11">
        <v>90000</v>
      </c>
      <c r="J5" s="4">
        <v>2</v>
      </c>
      <c r="K5" s="11">
        <v>2000</v>
      </c>
      <c r="L5" s="11">
        <v>120000</v>
      </c>
      <c r="M5" s="5" t="s">
        <v>556</v>
      </c>
      <c r="N5" s="32" t="s">
        <v>557</v>
      </c>
      <c r="O5" s="4" t="s">
        <v>590</v>
      </c>
      <c r="P5" s="30">
        <f t="shared" si="1"/>
        <v>180000</v>
      </c>
      <c r="Q5" s="9" t="str">
        <f t="shared" si="2"/>
        <v>2029-03-27</v>
      </c>
      <c r="R5" t="str">
        <f t="shared" si="3"/>
        <v>INSERT INTO `nhathuoc_bsphong`.`dm_thuoc` (`ma_thuoc`, `ten_thuoc`, `hoat_chat`, `don_vi_chan`, `he_so`, `don_vi_le`, `nhom_thuoc`, `gia_nhap`, `gia_ban`) VALUES ('4', 'Vorifend 500', 'Glucosamine 500mg', 'Hộp', '1', '  ', '  Cơ xương khớp ', '2000', '2000');</v>
      </c>
      <c r="S5" t="str">
        <f t="shared" si="4"/>
        <v>INSERT INTO `nhathuoc_bsphong`.`tbl_nk_ct` (`ma_phieu_nhap`, `ma_thuoc`, `ten_thuoc`, `lsx`, `don_vi_le`, `so_luong`, `don_gia`, `thanh_tien`, `hsd`) VALUES ('NK001', '4', '', '030326', 'donvi', '2', '0', '0', '2029-03-27');</v>
      </c>
    </row>
    <row r="6" spans="1:19" ht="15.75">
      <c r="A6">
        <v>5</v>
      </c>
      <c r="B6" s="4" t="s">
        <v>254</v>
      </c>
      <c r="C6" s="4" t="s">
        <v>379</v>
      </c>
      <c r="D6" s="12" t="s">
        <v>380</v>
      </c>
      <c r="E6" s="4" t="s">
        <v>603</v>
      </c>
      <c r="F6" s="4" t="str">
        <f t="shared" si="0"/>
        <v>Viên</v>
      </c>
      <c r="G6" s="12" t="s">
        <v>356</v>
      </c>
      <c r="H6" s="11">
        <v>65000</v>
      </c>
      <c r="I6" s="11">
        <v>46000</v>
      </c>
      <c r="J6" s="4">
        <v>1</v>
      </c>
      <c r="K6" s="11">
        <v>650</v>
      </c>
      <c r="L6" s="11">
        <v>65000</v>
      </c>
      <c r="M6" s="4">
        <v>3081224</v>
      </c>
      <c r="N6" s="32">
        <v>46733</v>
      </c>
      <c r="O6" s="13">
        <v>46241</v>
      </c>
      <c r="P6" s="30">
        <f t="shared" si="1"/>
        <v>46000</v>
      </c>
      <c r="Q6" s="9" t="str">
        <f t="shared" si="2"/>
        <v>2027-12-12</v>
      </c>
      <c r="R6" t="str">
        <f t="shared" si="3"/>
        <v>INSERT INTO `nhathuoc_bsphong`.`dm_thuoc` (`ma_thuoc`, `ten_thuoc`, `hoat_chat`, `don_vi_chan`, `he_so`, `don_vi_le`, `nhom_thuoc`, `gia_nhap`, `gia_ban`) VALUES ('5', 'Dextromethorphan 30mg H/100V', 'Dextromethorphan 30mg', 'Hộp', '1', ' Viên ', '  Dị ứng ', '650', '650');</v>
      </c>
      <c r="S6" t="str">
        <f t="shared" si="4"/>
        <v>INSERT INTO `nhathuoc_bsphong`.`tbl_nk_ct` (`ma_phieu_nhap`, `ma_thuoc`, `ten_thuoc`, `lsx`, `don_vi_le`, `so_luong`, `don_gia`, `thanh_tien`, `hsd`) VALUES ('NK001', '5', '', '3081224', 'donvi', '1', '0', '0', '2027-12-12');</v>
      </c>
    </row>
    <row r="7" spans="1:19" ht="15.75">
      <c r="A7">
        <v>6</v>
      </c>
      <c r="B7" s="6" t="s">
        <v>315</v>
      </c>
      <c r="C7" s="6" t="s">
        <v>397</v>
      </c>
      <c r="D7" s="6" t="s">
        <v>398</v>
      </c>
      <c r="E7" s="4" t="s">
        <v>603</v>
      </c>
      <c r="F7" s="4" t="str">
        <f t="shared" si="0"/>
        <v/>
      </c>
      <c r="G7" s="6"/>
      <c r="H7" s="11"/>
      <c r="I7" s="11"/>
      <c r="J7" s="4"/>
      <c r="K7">
        <v>0</v>
      </c>
      <c r="L7" s="11"/>
      <c r="M7" s="4"/>
      <c r="N7" s="32"/>
      <c r="O7" s="4"/>
      <c r="P7" s="30">
        <f t="shared" si="1"/>
        <v>0</v>
      </c>
      <c r="Q7" s="9" t="e">
        <f>IF(ISNUMBER(N7),TEXT(N7,"yyyy-mm-dd"),TEXT(DATE(RIGHT(N7,4),MID(N7,FIND("/",N7)+1,FIND("/",N7,FIND("/",N7)+1)-FIND("/",N7)-1),LEFT(N7,FIND("/",N7)-1)),"yyyy-mm-dd"))</f>
        <v>#VALUE!</v>
      </c>
      <c r="R7" t="str">
        <f t="shared" si="3"/>
        <v>INSERT INTO `nhathuoc_bsphong`.`dm_thuoc` (`ma_thuoc`, `ten_thuoc`, `hoat_chat`, `don_vi_chan`, `he_so`, `don_vi_le`, `nhom_thuoc`, `gia_nhap`, `gia_ban`) VALUES ('6', 'Human Albumin Baxter 200 g/l 20% 50ml', 'Albumin', 'Hộp', '1', '  ', '  Dịch truyền ', '0', '0');</v>
      </c>
      <c r="S7" t="e">
        <f t="shared" ref="S3:S66" si="5">"INSERT INTO tbl_nk_ct (`ma_phieu_nhap`, `ma_thuoc`, `ten_thuoc`, `lsx`, `don_vi`, `so_luong`, `don_gia`, `hsd`) VALUES ('NK001', '" &amp; A7 &amp; "', '" &amp; D7 &amp; "','"&amp; M7 &amp;"', '"&amp; F7 &amp;"', '"&amp; J7 &amp;"', '" &amp; K7 &amp; "', '" &amp; Q7 &amp; "');"</f>
        <v>#VALUE!</v>
      </c>
    </row>
    <row r="8" spans="1:19" ht="15.75">
      <c r="A8">
        <v>7</v>
      </c>
      <c r="B8" s="6" t="s">
        <v>315</v>
      </c>
      <c r="C8" s="6" t="s">
        <v>397</v>
      </c>
      <c r="D8" s="6" t="s">
        <v>399</v>
      </c>
      <c r="E8" s="4" t="s">
        <v>603</v>
      </c>
      <c r="F8" s="4" t="str">
        <f t="shared" si="0"/>
        <v/>
      </c>
      <c r="G8" s="6"/>
      <c r="H8" s="11"/>
      <c r="I8" s="11"/>
      <c r="J8" s="4"/>
      <c r="K8">
        <v>0</v>
      </c>
      <c r="L8" s="11"/>
      <c r="M8" s="4"/>
      <c r="N8" s="32"/>
      <c r="O8" s="4"/>
      <c r="P8" s="30">
        <f t="shared" si="1"/>
        <v>0</v>
      </c>
      <c r="Q8" s="9" t="e">
        <f t="shared" si="2"/>
        <v>#VALUE!</v>
      </c>
      <c r="R8" t="str">
        <f t="shared" si="3"/>
        <v>INSERT INTO `nhathuoc_bsphong`.`dm_thuoc` (`ma_thuoc`, `ten_thuoc`, `hoat_chat`, `don_vi_chan`, `he_so`, `don_vi_le`, `nhom_thuoc`, `gia_nhap`, `gia_ban`) VALUES ('7', 'Truyền Human Albumin Takeda 200g/l 50ml', 'Albumin', 'Hộp', '1', '  ', '  Dịch truyền ', '0', '0');</v>
      </c>
      <c r="S8" t="e">
        <f t="shared" si="5"/>
        <v>#VALUE!</v>
      </c>
    </row>
    <row r="9" spans="1:19" ht="15.75">
      <c r="A9">
        <v>8</v>
      </c>
      <c r="B9" s="6" t="s">
        <v>315</v>
      </c>
      <c r="C9" s="6" t="s">
        <v>137</v>
      </c>
      <c r="D9" s="6" t="s">
        <v>228</v>
      </c>
      <c r="E9" s="4" t="s">
        <v>603</v>
      </c>
      <c r="F9" s="4" t="str">
        <f t="shared" si="0"/>
        <v/>
      </c>
      <c r="G9" s="6" t="s">
        <v>324</v>
      </c>
      <c r="H9" s="11">
        <v>12500</v>
      </c>
      <c r="I9" s="11">
        <v>10500</v>
      </c>
      <c r="J9" s="4">
        <v>10</v>
      </c>
      <c r="K9" s="11">
        <v>15000</v>
      </c>
      <c r="L9" s="11">
        <v>15000</v>
      </c>
      <c r="M9" s="4" t="s">
        <v>436</v>
      </c>
      <c r="N9" s="32">
        <v>47303</v>
      </c>
      <c r="O9" s="4" t="s">
        <v>591</v>
      </c>
      <c r="P9" s="30">
        <f t="shared" si="1"/>
        <v>105000</v>
      </c>
      <c r="Q9" s="9" t="str">
        <f t="shared" si="2"/>
        <v>2029-07-04</v>
      </c>
      <c r="R9" t="str">
        <f t="shared" si="3"/>
        <v>INSERT INTO `nhathuoc_bsphong`.`dm_thuoc` (`ma_thuoc`, `ten_thuoc`, `hoat_chat`, `don_vi_chan`, `he_so`, `don_vi_le`, `nhom_thuoc`, `gia_nhap`, `gia_ban`) VALUES ('8', 'Truyền Lactate ringer 500ml', 'Calci clorid 20mg, Kali clorid 30mg, Natri clorid 600mg, Natri lactat 310mg', 'Hộp', '1', '  ', '  Dịch truyền ', '15000', '15000');</v>
      </c>
      <c r="S9" t="str">
        <f>"INSERT INTO `nhathuoc_bsphong`.`tbl_nk_ct` (`ma_phieu_nhap`, `ma_thuoc`, `ten_thuoc`, `lsx`, `don_vi_le`, `so_luong`, `don_gia`, `thanh_tien`, `hsd`) VALUES ('NK001', '" &amp; A9 &amp; "', '', '" &amp; M9 &amp; "', 'donvi', '"&amp; J9 &amp;"', '0', '0', '"&amp; Q9 &amp;"');"</f>
        <v>INSERT INTO `nhathuoc_bsphong`.`tbl_nk_ct` (`ma_phieu_nhap`, `ma_thuoc`, `ten_thuoc`, `lsx`, `don_vi_le`, `so_luong`, `don_gia`, `thanh_tien`, `hsd`) VALUES ('NK001', '8', '', '86UDE020', 'donvi', '10', '0', '0', '2029-07-04');</v>
      </c>
    </row>
    <row r="10" spans="1:19" ht="15.75">
      <c r="A10">
        <v>9</v>
      </c>
      <c r="B10" s="6" t="s">
        <v>315</v>
      </c>
      <c r="C10" s="6" t="s">
        <v>142</v>
      </c>
      <c r="D10" s="6" t="s">
        <v>233</v>
      </c>
      <c r="E10" s="4" t="s">
        <v>603</v>
      </c>
      <c r="F10" s="4" t="str">
        <f t="shared" si="0"/>
        <v/>
      </c>
      <c r="G10" s="6"/>
      <c r="H10" s="11"/>
      <c r="I10" s="11"/>
      <c r="J10" s="4"/>
      <c r="K10">
        <v>0</v>
      </c>
      <c r="L10" s="11"/>
      <c r="M10" s="4"/>
      <c r="N10" s="32"/>
      <c r="O10" s="4"/>
      <c r="P10" s="30">
        <f t="shared" si="1"/>
        <v>0</v>
      </c>
      <c r="Q10" s="9" t="e">
        <f t="shared" si="2"/>
        <v>#VALUE!</v>
      </c>
      <c r="R10" t="str">
        <f t="shared" si="3"/>
        <v>INSERT INTO `nhathuoc_bsphong`.`dm_thuoc` (`ma_thuoc`, `ten_thuoc`, `hoat_chat`, `don_vi_chan`, `he_so`, `don_vi_le`, `nhom_thuoc`, `gia_nhap`, `gia_ban`) VALUES ('9', 'Truyền Vitaplex 500ml', 'Dextrose 25g, Dexpanthenol 250mg, Acid ascorbic 500 mg, Thiamin hydroclorid 125 mg, Nicotinamid 625 mg,Riboflavin 25mg,Pyridoxin 25mg', 'Hộp', '1', '  ', '  Dịch truyền ', '0', '0');</v>
      </c>
      <c r="S10" t="e">
        <f t="shared" si="5"/>
        <v>#VALUE!</v>
      </c>
    </row>
    <row r="11" spans="1:19" ht="15.75">
      <c r="A11">
        <v>10</v>
      </c>
      <c r="B11" s="4" t="s">
        <v>315</v>
      </c>
      <c r="C11" s="4" t="s">
        <v>136</v>
      </c>
      <c r="D11" s="12" t="s">
        <v>227</v>
      </c>
      <c r="E11" s="4" t="s">
        <v>603</v>
      </c>
      <c r="F11" s="4" t="str">
        <f t="shared" si="0"/>
        <v/>
      </c>
      <c r="G11" s="12"/>
      <c r="H11" s="11"/>
      <c r="I11" s="11"/>
      <c r="J11" s="4"/>
      <c r="K11">
        <v>0</v>
      </c>
      <c r="L11" s="11"/>
      <c r="M11" s="4"/>
      <c r="N11" s="32"/>
      <c r="O11" s="4"/>
      <c r="P11" s="30">
        <f t="shared" si="1"/>
        <v>0</v>
      </c>
      <c r="Q11" s="9" t="e">
        <f t="shared" si="2"/>
        <v>#VALUE!</v>
      </c>
      <c r="R11" t="str">
        <f t="shared" si="3"/>
        <v>INSERT INTO `nhathuoc_bsphong`.`dm_thuoc` (`ma_thuoc`, `ten_thuoc`, `hoat_chat`, `don_vi_chan`, `he_so`, `don_vi_le`, `nhom_thuoc`, `gia_nhap`, `gia_ban`) VALUES ('10', 'Truyền Glucose 5%/ 500ml', 'Glucose khan 25g', 'Hộp', '1', '  ', '  Dịch truyền ', '0', '0');</v>
      </c>
      <c r="S11" t="e">
        <f t="shared" si="5"/>
        <v>#VALUE!</v>
      </c>
    </row>
    <row r="12" spans="1:19" ht="15.75">
      <c r="A12">
        <v>11</v>
      </c>
      <c r="B12" s="4" t="s">
        <v>315</v>
      </c>
      <c r="C12" s="4" t="s">
        <v>138</v>
      </c>
      <c r="D12" s="12" t="s">
        <v>229</v>
      </c>
      <c r="E12" s="4" t="s">
        <v>603</v>
      </c>
      <c r="F12" s="4" t="str">
        <f t="shared" si="0"/>
        <v/>
      </c>
      <c r="G12" s="12"/>
      <c r="H12" s="11"/>
      <c r="I12" s="11"/>
      <c r="J12" s="4"/>
      <c r="K12">
        <v>0</v>
      </c>
      <c r="L12" s="11"/>
      <c r="M12" s="4"/>
      <c r="N12" s="32"/>
      <c r="O12" s="4"/>
      <c r="P12" s="30">
        <f t="shared" si="1"/>
        <v>0</v>
      </c>
      <c r="Q12" s="9" t="e">
        <f t="shared" si="2"/>
        <v>#VALUE!</v>
      </c>
      <c r="R12" t="str">
        <f t="shared" si="3"/>
        <v>INSERT INTO `nhathuoc_bsphong`.`dm_thuoc` (`ma_thuoc`, `ten_thuoc`, `hoat_chat`, `don_vi_chan`, `he_so`, `don_vi_le`, `nhom_thuoc`, `gia_nhap`, `gia_ban`) VALUES ('11', 'Truyền Natri clorid 100ml', 'Natri clorid 0.9% 100ml', 'Hộp', '1', '  ', '  Dịch truyền ', '0', '0');</v>
      </c>
      <c r="S12" t="e">
        <f t="shared" si="5"/>
        <v>#VALUE!</v>
      </c>
    </row>
    <row r="13" spans="1:19" s="1" customFormat="1" ht="15.75">
      <c r="A13">
        <v>12</v>
      </c>
      <c r="B13" s="4" t="s">
        <v>315</v>
      </c>
      <c r="C13" s="4" t="s">
        <v>139</v>
      </c>
      <c r="D13" s="12" t="s">
        <v>230</v>
      </c>
      <c r="E13" s="4" t="s">
        <v>603</v>
      </c>
      <c r="F13" s="4" t="str">
        <f t="shared" si="0"/>
        <v/>
      </c>
      <c r="G13" s="12" t="s">
        <v>326</v>
      </c>
      <c r="H13" s="11">
        <v>15000</v>
      </c>
      <c r="I13" s="11">
        <v>11000</v>
      </c>
      <c r="J13" s="4">
        <v>10</v>
      </c>
      <c r="K13" s="11">
        <v>20000</v>
      </c>
      <c r="L13" s="11">
        <v>20000</v>
      </c>
      <c r="M13" s="4" t="s">
        <v>437</v>
      </c>
      <c r="N13" s="32" t="s">
        <v>475</v>
      </c>
      <c r="O13" s="4" t="s">
        <v>591</v>
      </c>
      <c r="P13" s="30">
        <f t="shared" si="1"/>
        <v>110000</v>
      </c>
      <c r="Q13" s="9" t="str">
        <f t="shared" si="2"/>
        <v>2029-03-31</v>
      </c>
      <c r="R13" t="str">
        <f t="shared" si="3"/>
        <v>INSERT INTO `nhathuoc_bsphong`.`dm_thuoc` (`ma_thuoc`, `ten_thuoc`, `hoat_chat`, `don_vi_chan`, `he_so`, `don_vi_le`, `nhom_thuoc`, `gia_nhap`, `gia_ban`) VALUES ('12', 'Truyền Natri Clorid 500ml', 'Natri clorid 0.9%/500ml', 'Hộp', '1', '  ', '  Dịch truyền ', '20000', '20000');</v>
      </c>
      <c r="S13" t="str">
        <f t="shared" ref="S13:S14" si="6">"INSERT INTO `nhathuoc_bsphong`.`tbl_nk_ct` (`ma_phieu_nhap`, `ma_thuoc`, `ten_thuoc`, `lsx`, `don_vi_le`, `so_luong`, `don_gia`, `thanh_tien`, `hsd`) VALUES ('NK001', '" &amp; A13 &amp; "', '', '" &amp; M13 &amp; "', 'donvi', '"&amp; J13 &amp;"', '0', '0', '"&amp; Q13 &amp;"');"</f>
        <v>INSERT INTO `nhathuoc_bsphong`.`tbl_nk_ct` (`ma_phieu_nhap`, `ma_thuoc`, `ten_thuoc`, `lsx`, `don_vi_le`, `so_luong`, `don_gia`, `thanh_tien`, `hsd`) VALUES ('NK001', '12', '', 'F0126033107', 'donvi', '10', '0', '0', '2029-03-31');</v>
      </c>
    </row>
    <row r="14" spans="1:19" ht="15.75">
      <c r="A14">
        <v>13</v>
      </c>
      <c r="B14" s="4" t="s">
        <v>315</v>
      </c>
      <c r="C14" s="4" t="s">
        <v>140</v>
      </c>
      <c r="D14" s="12" t="s">
        <v>231</v>
      </c>
      <c r="E14" s="4" t="s">
        <v>603</v>
      </c>
      <c r="F14" s="4" t="str">
        <f t="shared" si="0"/>
        <v/>
      </c>
      <c r="G14" s="12" t="s">
        <v>324</v>
      </c>
      <c r="H14" s="21">
        <v>30000</v>
      </c>
      <c r="I14" s="11">
        <v>23000</v>
      </c>
      <c r="J14" s="4">
        <v>3</v>
      </c>
      <c r="K14" s="11">
        <v>35000</v>
      </c>
      <c r="L14" s="11">
        <v>35000</v>
      </c>
      <c r="M14" s="4" t="s">
        <v>438</v>
      </c>
      <c r="N14" s="32">
        <v>46730</v>
      </c>
      <c r="O14" s="13">
        <v>46241</v>
      </c>
      <c r="P14" s="30">
        <f t="shared" si="1"/>
        <v>69000</v>
      </c>
      <c r="Q14" s="9" t="str">
        <f t="shared" si="2"/>
        <v>2027-12-09</v>
      </c>
      <c r="R14" t="str">
        <f t="shared" si="3"/>
        <v>INSERT INTO `nhathuoc_bsphong`.`dm_thuoc` (`ma_thuoc`, `ten_thuoc`, `hoat_chat`, `don_vi_chan`, `he_so`, `don_vi_le`, `nhom_thuoc`, `gia_nhap`, `gia_ban`) VALUES ('13', 'Truyền paracetamol 1g/100ml', 'Paracetamol 1g/100ml', 'Hộp', '1', '  ', '  Dịch truyền ', '35000', '35000');</v>
      </c>
      <c r="S14" t="str">
        <f t="shared" si="6"/>
        <v>INSERT INTO `nhathuoc_bsphong`.`tbl_nk_ct` (`ma_phieu_nhap`, `ma_thuoc`, `ten_thuoc`, `lsx`, `don_vi_le`, `so_luong`, `don_gia`, `thanh_tien`, `hsd`) VALUES ('NK001', '13', '', '14UI26', 'donvi', '3', '0', '0', '2027-12-09');</v>
      </c>
    </row>
    <row r="15" spans="1:19" ht="15.75">
      <c r="A15">
        <v>14</v>
      </c>
      <c r="B15" s="6" t="s">
        <v>315</v>
      </c>
      <c r="C15" s="6" t="s">
        <v>141</v>
      </c>
      <c r="D15" s="6" t="s">
        <v>232</v>
      </c>
      <c r="E15" s="4" t="s">
        <v>603</v>
      </c>
      <c r="F15" s="4" t="str">
        <f t="shared" si="0"/>
        <v/>
      </c>
      <c r="G15" s="6"/>
      <c r="H15" s="11"/>
      <c r="I15" s="21"/>
      <c r="J15" s="6"/>
      <c r="K15">
        <v>0</v>
      </c>
      <c r="L15" s="11"/>
      <c r="M15" s="6"/>
      <c r="N15" s="33"/>
      <c r="O15" s="4"/>
      <c r="P15" s="30">
        <f t="shared" si="1"/>
        <v>0</v>
      </c>
      <c r="Q15" s="9" t="e">
        <f t="shared" si="2"/>
        <v>#VALUE!</v>
      </c>
      <c r="R15" t="str">
        <f t="shared" si="3"/>
        <v>INSERT INTO `nhathuoc_bsphong`.`dm_thuoc` (`ma_thuoc`, `ten_thuoc`, `hoat_chat`, `don_vi_chan`, `he_so`, `don_vi_le`, `nhom_thuoc`, `gia_nhap`, `gia_ban`) VALUES ('14', 'Truyền Piracetam 12g/60ml', 'Piracetam 12g/60ml', 'Hộp', '1', '  ', '  Dịch truyền ', '0', '0');</v>
      </c>
      <c r="S15" t="e">
        <f t="shared" si="5"/>
        <v>#VALUE!</v>
      </c>
    </row>
    <row r="16" spans="1:19" ht="15.75">
      <c r="A16">
        <v>15</v>
      </c>
      <c r="B16" s="6" t="s">
        <v>315</v>
      </c>
      <c r="C16" s="6" t="s">
        <v>42</v>
      </c>
      <c r="D16" s="6" t="s">
        <v>509</v>
      </c>
      <c r="E16" s="4" t="s">
        <v>603</v>
      </c>
      <c r="F16" s="4" t="str">
        <f t="shared" si="0"/>
        <v/>
      </c>
      <c r="G16" s="6" t="s">
        <v>402</v>
      </c>
      <c r="H16" s="11">
        <v>170000</v>
      </c>
      <c r="I16" s="11">
        <v>125000</v>
      </c>
      <c r="J16" s="4">
        <v>5</v>
      </c>
      <c r="K16" s="11">
        <v>170000</v>
      </c>
      <c r="L16" s="11">
        <v>170000</v>
      </c>
      <c r="M16" s="4">
        <v>254518062</v>
      </c>
      <c r="N16" s="32">
        <v>46794</v>
      </c>
      <c r="O16" s="4" t="s">
        <v>590</v>
      </c>
      <c r="P16" s="30">
        <f t="shared" si="1"/>
        <v>625000</v>
      </c>
      <c r="Q16" s="9" t="str">
        <f t="shared" si="2"/>
        <v>2028-02-11</v>
      </c>
      <c r="R16" t="str">
        <f t="shared" si="3"/>
        <v>INSERT INTO `nhathuoc_bsphong`.`dm_thuoc` (`ma_thuoc`, `ten_thuoc`, `hoat_chat`, `don_vi_chan`, `he_so`, `don_vi_le`, `nhom_thuoc`, `gia_nhap`, `gia_ban`) VALUES ('15', 'Truyền aminoplasma 10% 250ml', 'Vitamin và khoáng chất', 'Hộp', '1', '  ', '  Dịch truyền ', '170000', '170000');</v>
      </c>
      <c r="S16" t="str">
        <f t="shared" ref="S16:S18" si="7">"INSERT INTO `nhathuoc_bsphong`.`tbl_nk_ct` (`ma_phieu_nhap`, `ma_thuoc`, `ten_thuoc`, `lsx`, `don_vi_le`, `so_luong`, `don_gia`, `thanh_tien`, `hsd`) VALUES ('NK001', '" &amp; A16 &amp; "', '', '" &amp; M16 &amp; "', 'donvi', '"&amp; J16 &amp;"', '0', '0', '"&amp; Q16 &amp;"');"</f>
        <v>INSERT INTO `nhathuoc_bsphong`.`tbl_nk_ct` (`ma_phieu_nhap`, `ma_thuoc`, `ten_thuoc`, `lsx`, `don_vi_le`, `so_luong`, `don_gia`, `thanh_tien`, `hsd`) VALUES ('NK001', '15', '', '254518062', 'donvi', '5', '0', '0', '2028-02-11');</v>
      </c>
    </row>
    <row r="17" spans="1:19" ht="15.75">
      <c r="A17">
        <v>16</v>
      </c>
      <c r="B17" s="6" t="s">
        <v>315</v>
      </c>
      <c r="C17" s="6" t="s">
        <v>400</v>
      </c>
      <c r="D17" s="6" t="s">
        <v>401</v>
      </c>
      <c r="E17" s="4" t="s">
        <v>603</v>
      </c>
      <c r="F17" s="4" t="str">
        <f t="shared" si="0"/>
        <v/>
      </c>
      <c r="G17" s="6" t="s">
        <v>402</v>
      </c>
      <c r="H17" s="11">
        <v>22000</v>
      </c>
      <c r="I17" s="11">
        <v>20000</v>
      </c>
      <c r="J17" s="4">
        <v>20</v>
      </c>
      <c r="K17" s="11">
        <v>22000</v>
      </c>
      <c r="L17" s="11">
        <v>22000</v>
      </c>
      <c r="M17" s="4" t="s">
        <v>439</v>
      </c>
      <c r="N17" s="32">
        <v>47852</v>
      </c>
      <c r="O17" s="4" t="s">
        <v>592</v>
      </c>
      <c r="P17" s="30">
        <f t="shared" si="1"/>
        <v>400000</v>
      </c>
      <c r="Q17" s="9" t="str">
        <f t="shared" si="2"/>
        <v>2031-01-04</v>
      </c>
      <c r="R17" t="str">
        <f t="shared" si="3"/>
        <v>INSERT INTO `nhathuoc_bsphong`.`dm_thuoc` (`ma_thuoc`, `ten_thuoc`, `hoat_chat`, `don_vi_chan`, `he_so`, `don_vi_le`, `nhom_thuoc`, `gia_nhap`, `gia_ban`) VALUES ('16', 'Vasofix Safety 22G 0.9x25mmm', 'Kim luồn', 'Hộp', '1', '  ', '  Dịch truyền ', '22000', '22000');</v>
      </c>
      <c r="S17" t="str">
        <f t="shared" si="7"/>
        <v>INSERT INTO `nhathuoc_bsphong`.`tbl_nk_ct` (`ma_phieu_nhap`, `ma_thuoc`, `ten_thuoc`, `lsx`, `don_vi_le`, `so_luong`, `don_gia`, `thanh_tien`, `hsd`) VALUES ('NK001', '16', '', '26D27G8A05', 'donvi', '20', '0', '0', '2031-01-04');</v>
      </c>
    </row>
    <row r="18" spans="1:19" ht="15.75">
      <c r="A18">
        <v>17</v>
      </c>
      <c r="B18" s="6" t="s">
        <v>315</v>
      </c>
      <c r="C18" s="6" t="s">
        <v>403</v>
      </c>
      <c r="D18" s="6" t="s">
        <v>404</v>
      </c>
      <c r="E18" s="4" t="s">
        <v>603</v>
      </c>
      <c r="F18" s="4" t="str">
        <f t="shared" si="0"/>
        <v/>
      </c>
      <c r="G18" s="6" t="s">
        <v>402</v>
      </c>
      <c r="H18" s="11">
        <v>14000</v>
      </c>
      <c r="I18" s="11">
        <v>13000</v>
      </c>
      <c r="J18" s="4">
        <v>20</v>
      </c>
      <c r="K18" s="11">
        <v>14000</v>
      </c>
      <c r="L18" s="11">
        <v>14000</v>
      </c>
      <c r="M18" s="4" t="s">
        <v>440</v>
      </c>
      <c r="N18" s="32">
        <v>47851</v>
      </c>
      <c r="O18" s="4" t="s">
        <v>592</v>
      </c>
      <c r="P18" s="30">
        <f t="shared" si="1"/>
        <v>260000</v>
      </c>
      <c r="Q18" s="9" t="str">
        <f t="shared" si="2"/>
        <v>2031-01-03</v>
      </c>
      <c r="R18" t="str">
        <f t="shared" si="3"/>
        <v>INSERT INTO `nhathuoc_bsphong`.`dm_thuoc` (`ma_thuoc`, `ten_thuoc`, `hoat_chat`, `don_vi_chan`, `he_so`, `don_vi_le`, `nhom_thuoc`, `gia_nhap`, `gia_ban`) VALUES ('17', 'Intrafix primeline ', 'Bộ dây truyền dịch dùng trọng lực', 'Hộp', '1', '  ', '  Dịch truyền ', '14000', '14000');</v>
      </c>
      <c r="S18" t="str">
        <f t="shared" si="7"/>
        <v>INSERT INTO `nhathuoc_bsphong`.`tbl_nk_ct` (`ma_phieu_nhap`, `ma_thuoc`, `ten_thuoc`, `lsx`, `don_vi_le`, `so_luong`, `don_gia`, `thanh_tien`, `hsd`) VALUES ('NK001', '17', '', '26C03K835A', 'donvi', '20', '0', '0', '2031-01-03');</v>
      </c>
    </row>
    <row r="19" spans="1:19" ht="15.75">
      <c r="A19">
        <v>18</v>
      </c>
      <c r="B19" s="6" t="s">
        <v>315</v>
      </c>
      <c r="C19" s="6" t="s">
        <v>42</v>
      </c>
      <c r="D19" s="6" t="s">
        <v>316</v>
      </c>
      <c r="E19" s="4" t="s">
        <v>603</v>
      </c>
      <c r="F19" s="4" t="str">
        <f t="shared" si="0"/>
        <v/>
      </c>
      <c r="G19" s="6"/>
      <c r="H19" s="11"/>
      <c r="I19" s="11"/>
      <c r="J19" s="4"/>
      <c r="K19">
        <v>0</v>
      </c>
      <c r="L19" s="11"/>
      <c r="M19" s="4"/>
      <c r="N19" s="32"/>
      <c r="O19" s="4"/>
      <c r="P19" s="30">
        <f t="shared" si="1"/>
        <v>0</v>
      </c>
      <c r="Q19" s="9" t="e">
        <f t="shared" si="2"/>
        <v>#VALUE!</v>
      </c>
      <c r="R19" t="str">
        <f t="shared" si="3"/>
        <v>INSERT INTO `nhathuoc_bsphong`.`dm_thuoc` (`ma_thuoc`, `ten_thuoc`, `hoat_chat`, `don_vi_chan`, `he_so`, `don_vi_le`, `nhom_thuoc`, `gia_nhap`, `gia_ban`) VALUES ('18', 'Truyền Polymina Kabi 250ml', 'Vitamin và khoáng chất', 'Hộp', '1', '  ', '  Dịch truyền ', '0', '0');</v>
      </c>
      <c r="S19" t="e">
        <f t="shared" si="5"/>
        <v>#VALUE!</v>
      </c>
    </row>
    <row r="20" spans="1:19" ht="15.75">
      <c r="A20">
        <v>19</v>
      </c>
      <c r="B20" s="4" t="s">
        <v>282</v>
      </c>
      <c r="C20" s="4" t="s">
        <v>55</v>
      </c>
      <c r="D20" s="12" t="s">
        <v>164</v>
      </c>
      <c r="E20" s="4" t="s">
        <v>603</v>
      </c>
      <c r="F20" s="4" t="str">
        <f t="shared" si="0"/>
        <v>Viên</v>
      </c>
      <c r="G20" s="12" t="s">
        <v>327</v>
      </c>
      <c r="H20" s="11">
        <v>220000</v>
      </c>
      <c r="I20" s="11">
        <v>212000</v>
      </c>
      <c r="J20" s="4">
        <v>3</v>
      </c>
      <c r="K20" s="11">
        <v>3666.6666666666665</v>
      </c>
      <c r="L20" s="11">
        <v>220000</v>
      </c>
      <c r="M20" s="4">
        <v>6122324</v>
      </c>
      <c r="N20" s="32" t="s">
        <v>599</v>
      </c>
      <c r="O20" s="4" t="s">
        <v>591</v>
      </c>
      <c r="P20" s="30">
        <f t="shared" si="1"/>
        <v>636000</v>
      </c>
      <c r="Q20" s="9" t="str">
        <f t="shared" si="2"/>
        <v>2028-05-01</v>
      </c>
      <c r="R20" t="str">
        <f t="shared" si="3"/>
        <v>INSERT INTO `nhathuoc_bsphong`.`dm_thuoc` (`ma_thuoc`, `ten_thuoc`, `hoat_chat`, `don_vi_chan`, `he_so`, `don_vi_le`, `nhom_thuoc`, `gia_nhap`, `gia_ban`) VALUES ('19', 'Diamiron 30 H/60v', 'Gliclazid 30mg', 'Hộp', '1', ' Viên ', '  Đường huyết ', '3666.66666666667', '3666.66666666667');</v>
      </c>
      <c r="S20" t="str">
        <f t="shared" ref="S20:S21" si="8">"INSERT INTO `nhathuoc_bsphong`.`tbl_nk_ct` (`ma_phieu_nhap`, `ma_thuoc`, `ten_thuoc`, `lsx`, `don_vi_le`, `so_luong`, `don_gia`, `thanh_tien`, `hsd`) VALUES ('NK001', '" &amp; A20 &amp; "', '', '" &amp; M20 &amp; "', 'donvi', '"&amp; J20 &amp;"', '0', '0', '"&amp; Q20 &amp;"');"</f>
        <v>INSERT INTO `nhathuoc_bsphong`.`tbl_nk_ct` (`ma_phieu_nhap`, `ma_thuoc`, `ten_thuoc`, `lsx`, `don_vi_le`, `so_luong`, `don_gia`, `thanh_tien`, `hsd`) VALUES ('NK001', '19', '', '6122324', 'donvi', '3', '0', '0', '2028-05-01');</v>
      </c>
    </row>
    <row r="21" spans="1:19" ht="15.75">
      <c r="A21">
        <v>20</v>
      </c>
      <c r="B21" s="4" t="s">
        <v>282</v>
      </c>
      <c r="C21" s="4" t="s">
        <v>56</v>
      </c>
      <c r="D21" s="12" t="s">
        <v>330</v>
      </c>
      <c r="E21" s="4" t="s">
        <v>603</v>
      </c>
      <c r="F21" s="4" t="str">
        <f t="shared" si="0"/>
        <v>Viên</v>
      </c>
      <c r="G21" s="12" t="s">
        <v>327</v>
      </c>
      <c r="H21" s="11">
        <v>211000</v>
      </c>
      <c r="I21" s="11">
        <v>203000</v>
      </c>
      <c r="J21" s="4">
        <v>3</v>
      </c>
      <c r="K21" s="11">
        <v>7033.333333333333</v>
      </c>
      <c r="L21" s="11">
        <v>211000</v>
      </c>
      <c r="M21" s="4">
        <v>6120844</v>
      </c>
      <c r="N21" s="32" t="s">
        <v>476</v>
      </c>
      <c r="O21" s="4" t="s">
        <v>591</v>
      </c>
      <c r="P21" s="30">
        <f t="shared" si="1"/>
        <v>609000</v>
      </c>
      <c r="Q21" s="9" t="str">
        <f t="shared" si="2"/>
        <v>2028-03-31</v>
      </c>
      <c r="R21" t="str">
        <f t="shared" si="3"/>
        <v>INSERT INTO `nhathuoc_bsphong`.`dm_thuoc` (`ma_thuoc`, `ten_thuoc`, `hoat_chat`, `don_vi_chan`, `he_so`, `don_vi_le`, `nhom_thuoc`, `gia_nhap`, `gia_ban`) VALUES ('20', 'Diamiron 60 H/30v', 'Gliclazid 60mg', 'Hộp', '1', ' Viên ', '  Đường huyết ', '7033.33333333333', '7033.33333333333');</v>
      </c>
      <c r="S21" t="str">
        <f t="shared" si="8"/>
        <v>INSERT INTO `nhathuoc_bsphong`.`tbl_nk_ct` (`ma_phieu_nhap`, `ma_thuoc`, `ten_thuoc`, `lsx`, `don_vi_le`, `so_luong`, `don_gia`, `thanh_tien`, `hsd`) VALUES ('NK001', '20', '', '6120844', 'donvi', '3', '0', '0', '2028-03-31');</v>
      </c>
    </row>
    <row r="22" spans="1:19" ht="15.75">
      <c r="A22">
        <v>21</v>
      </c>
      <c r="B22" s="4" t="s">
        <v>282</v>
      </c>
      <c r="C22" s="4" t="s">
        <v>97</v>
      </c>
      <c r="D22" s="12" t="s">
        <v>296</v>
      </c>
      <c r="E22" s="4" t="s">
        <v>603</v>
      </c>
      <c r="F22" s="4" t="str">
        <f t="shared" si="0"/>
        <v/>
      </c>
      <c r="G22" s="12"/>
      <c r="H22" s="11"/>
      <c r="I22" s="11"/>
      <c r="J22" s="4"/>
      <c r="K22">
        <v>0</v>
      </c>
      <c r="L22" s="11"/>
      <c r="M22" s="4"/>
      <c r="N22" s="32"/>
      <c r="O22" s="4"/>
      <c r="P22" s="30">
        <f t="shared" si="1"/>
        <v>0</v>
      </c>
      <c r="Q22" s="9" t="e">
        <f t="shared" si="2"/>
        <v>#VALUE!</v>
      </c>
      <c r="R22" t="str">
        <f t="shared" si="3"/>
        <v>INSERT INTO `nhathuoc_bsphong`.`dm_thuoc` (`ma_thuoc`, `ten_thuoc`, `hoat_chat`, `don_vi_chan`, `he_so`, `don_vi_le`, `nhom_thuoc`, `gia_nhap`, `gia_ban`) VALUES ('21', 'NovoMix 30 FlexPen H/5 cây', 'Insulin 100IU/mL', 'Hộp', '1', '  ', '  Đường huyết ', '0', '0');</v>
      </c>
      <c r="S22" t="e">
        <f t="shared" si="5"/>
        <v>#VALUE!</v>
      </c>
    </row>
    <row r="23" spans="1:19" ht="15.75">
      <c r="A23">
        <v>22</v>
      </c>
      <c r="B23" s="4" t="s">
        <v>282</v>
      </c>
      <c r="C23" s="4" t="s">
        <v>77</v>
      </c>
      <c r="D23" s="12" t="s">
        <v>284</v>
      </c>
      <c r="E23" s="4" t="s">
        <v>603</v>
      </c>
      <c r="F23" s="4" t="str">
        <f t="shared" si="0"/>
        <v>Viên</v>
      </c>
      <c r="G23" s="12" t="s">
        <v>332</v>
      </c>
      <c r="H23" s="11">
        <v>168200</v>
      </c>
      <c r="I23" s="11">
        <v>164000</v>
      </c>
      <c r="J23" s="4">
        <v>3</v>
      </c>
      <c r="K23" s="11">
        <v>5666.666666666667</v>
      </c>
      <c r="L23" s="11">
        <v>170000</v>
      </c>
      <c r="M23" s="4" t="s">
        <v>441</v>
      </c>
      <c r="N23" s="32">
        <v>46911</v>
      </c>
      <c r="O23" s="4" t="s">
        <v>591</v>
      </c>
      <c r="P23" s="30">
        <f t="shared" si="1"/>
        <v>492000</v>
      </c>
      <c r="Q23" s="9" t="str">
        <f t="shared" si="2"/>
        <v>2028-06-07</v>
      </c>
      <c r="R23" t="str">
        <f t="shared" si="3"/>
        <v>INSERT INTO `nhathuoc_bsphong`.`dm_thuoc` (`ma_thuoc`, `ten_thuoc`, `hoat_chat`, `don_vi_chan`, `he_so`, `don_vi_le`, `nhom_thuoc`, `gia_nhap`, `gia_ban`) VALUES ('22', 'Glucophage 1000 H/30V', 'Metformin 1000mg', 'Hộp', '1', ' Viên ', '  Đường huyết ', '5666.66666666667', '5666.66666666667');</v>
      </c>
      <c r="S23" t="str">
        <f t="shared" ref="S23:S25" si="9">"INSERT INTO `nhathuoc_bsphong`.`tbl_nk_ct` (`ma_phieu_nhap`, `ma_thuoc`, `ten_thuoc`, `lsx`, `don_vi_le`, `so_luong`, `don_gia`, `thanh_tien`, `hsd`) VALUES ('NK001', '" &amp; A23 &amp; "', '', '" &amp; M23 &amp; "', 'donvi', '"&amp; J23 &amp;"', '0', '0', '"&amp; Q23 &amp;"');"</f>
        <v>INSERT INTO `nhathuoc_bsphong`.`tbl_nk_ct` (`ma_phieu_nhap`, `ma_thuoc`, `ten_thuoc`, `lsx`, `don_vi_le`, `so_luong`, `don_gia`, `thanh_tien`, `hsd`) VALUES ('NK001', '22', '', 'Y19708', 'donvi', '3', '0', '0', '2028-06-07');</v>
      </c>
    </row>
    <row r="24" spans="1:19" ht="15.75">
      <c r="A24">
        <v>23</v>
      </c>
      <c r="B24" s="4" t="s">
        <v>282</v>
      </c>
      <c r="C24" s="4" t="s">
        <v>349</v>
      </c>
      <c r="D24" s="12" t="s">
        <v>350</v>
      </c>
      <c r="E24" s="4" t="s">
        <v>603</v>
      </c>
      <c r="F24" s="4" t="str">
        <f t="shared" si="0"/>
        <v>Viên</v>
      </c>
      <c r="G24" s="12" t="s">
        <v>335</v>
      </c>
      <c r="H24" s="11">
        <v>57800</v>
      </c>
      <c r="I24" s="11">
        <v>53000</v>
      </c>
      <c r="J24" s="4">
        <v>3</v>
      </c>
      <c r="K24" s="11">
        <v>966.66666666666663</v>
      </c>
      <c r="L24" s="11">
        <v>58000</v>
      </c>
      <c r="M24" s="4">
        <v>100226</v>
      </c>
      <c r="N24" s="32" t="s">
        <v>477</v>
      </c>
      <c r="O24" s="13">
        <v>46241</v>
      </c>
      <c r="P24" s="30">
        <f t="shared" si="1"/>
        <v>159000</v>
      </c>
      <c r="Q24" s="9" t="str">
        <f t="shared" si="2"/>
        <v>2029-01-31</v>
      </c>
      <c r="R24" t="str">
        <f t="shared" si="3"/>
        <v>INSERT INTO `nhathuoc_bsphong`.`dm_thuoc` (`ma_thuoc`, `ten_thuoc`, `hoat_chat`, `don_vi_chan`, `he_so`, `don_vi_le`, `nhom_thuoc`, `gia_nhap`, `gia_ban`) VALUES ('23', 'Metformin Stella 850mg H/60V', 'Metformin 850mg', 'Hộp', '1', ' Viên ', '  Đường huyết ', '966.666666666667', '966.666666666667');</v>
      </c>
      <c r="S24" t="str">
        <f t="shared" si="9"/>
        <v>INSERT INTO `nhathuoc_bsphong`.`tbl_nk_ct` (`ma_phieu_nhap`, `ma_thuoc`, `ten_thuoc`, `lsx`, `don_vi_le`, `so_luong`, `don_gia`, `thanh_tien`, `hsd`) VALUES ('NK001', '23', '', '100226', 'donvi', '3', '0', '0', '2029-01-31');</v>
      </c>
    </row>
    <row r="25" spans="1:19" ht="15.75">
      <c r="A25">
        <v>24</v>
      </c>
      <c r="B25" s="4" t="s">
        <v>282</v>
      </c>
      <c r="C25" s="4" t="s">
        <v>78</v>
      </c>
      <c r="D25" s="12" t="s">
        <v>331</v>
      </c>
      <c r="E25" s="4" t="s">
        <v>603</v>
      </c>
      <c r="F25" s="4" t="str">
        <f t="shared" si="0"/>
        <v>Viên</v>
      </c>
      <c r="G25" s="12" t="s">
        <v>332</v>
      </c>
      <c r="H25" s="11">
        <v>162500</v>
      </c>
      <c r="I25" s="11">
        <v>159500</v>
      </c>
      <c r="J25" s="4">
        <v>3</v>
      </c>
      <c r="K25" s="11">
        <v>2716.6666666666665</v>
      </c>
      <c r="L25" s="11">
        <v>163000</v>
      </c>
      <c r="M25" s="4" t="s">
        <v>442</v>
      </c>
      <c r="N25" s="32">
        <v>46486</v>
      </c>
      <c r="O25" s="4" t="s">
        <v>591</v>
      </c>
      <c r="P25" s="30">
        <f t="shared" si="1"/>
        <v>478500</v>
      </c>
      <c r="Q25" s="9" t="str">
        <f t="shared" si="2"/>
        <v>2027-04-09</v>
      </c>
      <c r="R25" t="str">
        <f t="shared" si="3"/>
        <v>INSERT INTO `nhathuoc_bsphong`.`dm_thuoc` (`ma_thuoc`, `ten_thuoc`, `hoat_chat`, `don_vi_chan`, `he_so`, `don_vi_le`, `nhom_thuoc`, `gia_nhap`, `gia_ban`) VALUES ('24', 'Glucophage 500 H/60v', 'Metformin 500mg', 'Hộp', '1', ' Viên ', '  Đường huyết ', '2716.66666666667', '2716.66666666667');</v>
      </c>
      <c r="S25" t="str">
        <f t="shared" si="9"/>
        <v>INSERT INTO `nhathuoc_bsphong`.`tbl_nk_ct` (`ma_phieu_nhap`, `ma_thuoc`, `ten_thuoc`, `lsx`, `don_vi_le`, `so_luong`, `don_gia`, `thanh_tien`, `hsd`) VALUES ('NK001', '24', '', 'Y17859 (2), Y17830 (1)', 'donvi', '3', '0', '0', '2027-04-09');</v>
      </c>
    </row>
    <row r="26" spans="1:19" ht="15.75">
      <c r="A26">
        <v>25</v>
      </c>
      <c r="B26" s="4" t="s">
        <v>282</v>
      </c>
      <c r="C26" s="4" t="s">
        <v>78</v>
      </c>
      <c r="D26" s="12" t="s">
        <v>405</v>
      </c>
      <c r="E26" s="4" t="s">
        <v>603</v>
      </c>
      <c r="F26" s="4" t="str">
        <f t="shared" si="0"/>
        <v>Viên</v>
      </c>
      <c r="G26" s="12"/>
      <c r="H26" s="11"/>
      <c r="I26" s="11"/>
      <c r="J26" s="4"/>
      <c r="K26">
        <v>0</v>
      </c>
      <c r="L26" s="11"/>
      <c r="M26" s="4"/>
      <c r="N26" s="32"/>
      <c r="O26" s="4"/>
      <c r="P26" s="30">
        <f t="shared" si="1"/>
        <v>0</v>
      </c>
      <c r="Q26" s="9" t="e">
        <f t="shared" si="2"/>
        <v>#VALUE!</v>
      </c>
      <c r="R26" t="str">
        <f t="shared" si="3"/>
        <v>INSERT INTO `nhathuoc_bsphong`.`dm_thuoc` (`ma_thuoc`, `ten_thuoc`, `hoat_chat`, `don_vi_chan`, `he_so`, `don_vi_le`, `nhom_thuoc`, `gia_nhap`, `gia_ban`) VALUES ('25', 'Metformin Stella 500mg H/60V', 'Metformin 500mg', 'Hộp', '1', ' Viên ', '  Đường huyết ', '0', '0');</v>
      </c>
      <c r="S26" t="e">
        <f t="shared" si="5"/>
        <v>#VALUE!</v>
      </c>
    </row>
    <row r="27" spans="1:19" ht="15.75">
      <c r="A27">
        <v>26</v>
      </c>
      <c r="B27" s="4" t="s">
        <v>282</v>
      </c>
      <c r="C27" s="4" t="s">
        <v>74</v>
      </c>
      <c r="D27" s="12" t="s">
        <v>176</v>
      </c>
      <c r="E27" s="4" t="s">
        <v>603</v>
      </c>
      <c r="F27" s="4" t="str">
        <f t="shared" si="0"/>
        <v>Viên</v>
      </c>
      <c r="G27" s="12"/>
      <c r="H27" s="11"/>
      <c r="I27" s="11"/>
      <c r="J27" s="4"/>
      <c r="K27">
        <v>0</v>
      </c>
      <c r="L27" s="11"/>
      <c r="M27" s="4"/>
      <c r="N27" s="32"/>
      <c r="O27" s="4"/>
      <c r="P27" s="30">
        <f t="shared" si="1"/>
        <v>0</v>
      </c>
      <c r="Q27" s="9" t="e">
        <f t="shared" si="2"/>
        <v>#VALUE!</v>
      </c>
      <c r="R27" t="str">
        <f t="shared" si="3"/>
        <v>INSERT INTO `nhathuoc_bsphong`.`dm_thuoc` (`ma_thuoc`, `ten_thuoc`, `hoat_chat`, `don_vi_chan`, `he_so`, `don_vi_le`, `nhom_thuoc`, `gia_nhap`, `gia_ban`) VALUES ('26', 'Galvus 50 H/28v', 'Vildagliptin 50mg', 'Hộp', '1', ' Viên ', '  Đường huyết ', '0', '0');</v>
      </c>
      <c r="S27" t="e">
        <f t="shared" si="5"/>
        <v>#VALUE!</v>
      </c>
    </row>
    <row r="28" spans="1:19" ht="15.75">
      <c r="A28">
        <v>27</v>
      </c>
      <c r="B28" s="4" t="s">
        <v>274</v>
      </c>
      <c r="C28" s="4" t="s">
        <v>105</v>
      </c>
      <c r="D28" s="12" t="s">
        <v>291</v>
      </c>
      <c r="E28" s="4" t="s">
        <v>603</v>
      </c>
      <c r="F28" s="4" t="str">
        <f t="shared" si="0"/>
        <v>Viên</v>
      </c>
      <c r="G28" s="12"/>
      <c r="H28" s="11"/>
      <c r="I28" s="11"/>
      <c r="J28" s="4"/>
      <c r="K28">
        <v>0</v>
      </c>
      <c r="L28" s="11"/>
      <c r="M28" s="4"/>
      <c r="N28" s="32"/>
      <c r="O28" s="4"/>
      <c r="P28" s="30">
        <f t="shared" si="1"/>
        <v>0</v>
      </c>
      <c r="Q28" s="9" t="e">
        <f t="shared" si="2"/>
        <v>#VALUE!</v>
      </c>
      <c r="R28" t="str">
        <f t="shared" si="3"/>
        <v>INSERT INTO `nhathuoc_bsphong`.`dm_thuoc` (`ma_thuoc`, `ten_thuoc`, `hoat_chat`, `don_vi_chan`, `he_so`, `don_vi_le`, `nhom_thuoc`, `gia_nhap`, `gia_ban`) VALUES ('27', 'Ultracet H/30V', 'Tramadol 37.5mg+Paracetamol 325mg', 'Hộp', '1', ' Viên ', '  Giảm đau ', '0', '0');</v>
      </c>
      <c r="S28" t="e">
        <f t="shared" si="5"/>
        <v>#VALUE!</v>
      </c>
    </row>
    <row r="29" spans="1:19" ht="15.75">
      <c r="A29">
        <v>28</v>
      </c>
      <c r="B29" s="6" t="s">
        <v>266</v>
      </c>
      <c r="C29" s="6" t="s">
        <v>45</v>
      </c>
      <c r="D29" s="6" t="s">
        <v>378</v>
      </c>
      <c r="E29" s="4" t="s">
        <v>603</v>
      </c>
      <c r="F29" s="4" t="str">
        <f t="shared" si="0"/>
        <v/>
      </c>
      <c r="G29" s="6" t="s">
        <v>343</v>
      </c>
      <c r="H29" s="11">
        <v>135000</v>
      </c>
      <c r="I29" s="11">
        <v>133000</v>
      </c>
      <c r="J29" s="4">
        <v>1</v>
      </c>
      <c r="K29" s="11">
        <v>1400</v>
      </c>
      <c r="L29" s="11">
        <v>140000</v>
      </c>
      <c r="M29" s="4">
        <v>251684</v>
      </c>
      <c r="N29" s="32">
        <v>46762</v>
      </c>
      <c r="O29" s="13">
        <v>46241</v>
      </c>
      <c r="P29" s="30">
        <f t="shared" si="1"/>
        <v>133000</v>
      </c>
      <c r="Q29" s="9" t="str">
        <f t="shared" si="2"/>
        <v>2028-01-10</v>
      </c>
      <c r="R29" t="str">
        <f t="shared" si="3"/>
        <v>INSERT INTO `nhathuoc_bsphong`.`dm_thuoc` (`ma_thuoc`, `ten_thuoc`, `hoat_chat`, `don_vi_chan`, `he_so`, `don_vi_le`, `nhom_thuoc`, `gia_nhap`, `gia_ban`) VALUES ('28', 'Buscopan Sanofi', 'Hyoscine butylbromide 10mg', 'Hộp', '1', '  ', '  Giảm đau  ', '1400', '1400');</v>
      </c>
      <c r="S29" t="str">
        <f t="shared" ref="S29:S31" si="10">"INSERT INTO `nhathuoc_bsphong`.`tbl_nk_ct` (`ma_phieu_nhap`, `ma_thuoc`, `ten_thuoc`, `lsx`, `don_vi_le`, `so_luong`, `don_gia`, `thanh_tien`, `hsd`) VALUES ('NK001', '" &amp; A29 &amp; "', '', '" &amp; M29 &amp; "', 'donvi', '"&amp; J29 &amp;"', '0', '0', '"&amp; Q29 &amp;"');"</f>
        <v>INSERT INTO `nhathuoc_bsphong`.`tbl_nk_ct` (`ma_phieu_nhap`, `ma_thuoc`, `ten_thuoc`, `lsx`, `don_vi_le`, `so_luong`, `don_gia`, `thanh_tien`, `hsd`) VALUES ('NK001', '28', '', '251684', 'donvi', '1', '0', '0', '2028-01-10');</v>
      </c>
    </row>
    <row r="30" spans="1:19" ht="15.75">
      <c r="A30">
        <v>29</v>
      </c>
      <c r="B30" s="4" t="s">
        <v>275</v>
      </c>
      <c r="C30" s="4" t="s">
        <v>62</v>
      </c>
      <c r="D30" s="12" t="s">
        <v>169</v>
      </c>
      <c r="E30" s="4" t="s">
        <v>603</v>
      </c>
      <c r="F30" s="4" t="str">
        <f t="shared" si="0"/>
        <v>Viên</v>
      </c>
      <c r="G30" s="12" t="s">
        <v>329</v>
      </c>
      <c r="H30" s="11">
        <v>51990</v>
      </c>
      <c r="I30" s="11">
        <v>47000</v>
      </c>
      <c r="J30" s="4">
        <v>3</v>
      </c>
      <c r="K30" s="11">
        <v>3250</v>
      </c>
      <c r="L30" s="11">
        <v>52000</v>
      </c>
      <c r="M30" s="4">
        <v>7085</v>
      </c>
      <c r="N30" s="32">
        <v>46764</v>
      </c>
      <c r="O30" s="4" t="s">
        <v>591</v>
      </c>
      <c r="P30" s="30">
        <f t="shared" si="1"/>
        <v>141000</v>
      </c>
      <c r="Q30" s="9" t="str">
        <f t="shared" si="2"/>
        <v>2028-01-12</v>
      </c>
      <c r="R30" t="str">
        <f t="shared" si="3"/>
        <v>INSERT INTO `nhathuoc_bsphong`.`dm_thuoc` (`ma_thuoc`, `ten_thuoc`, `hoat_chat`, `don_vi_chan`, `he_so`, `don_vi_le`, `nhom_thuoc`, `gia_nhap`, `gia_ban`) VALUES ('29', 'Efferalgan 500 sủi H/16v', 'Paracetamol 500mg', 'Hộp', '1', ' Viên ', '  Giảm đau hạ sốt ', '3250', '3250');</v>
      </c>
      <c r="S30" t="str">
        <f t="shared" si="10"/>
        <v>INSERT INTO `nhathuoc_bsphong`.`tbl_nk_ct` (`ma_phieu_nhap`, `ma_thuoc`, `ten_thuoc`, `lsx`, `don_vi_le`, `so_luong`, `don_gia`, `thanh_tien`, `hsd`) VALUES ('NK001', '29', '', '7085', 'donvi', '3', '0', '0', '2028-01-12');</v>
      </c>
    </row>
    <row r="31" spans="1:19" ht="15.75">
      <c r="A31">
        <v>30</v>
      </c>
      <c r="B31" s="4" t="s">
        <v>275</v>
      </c>
      <c r="C31" s="4" t="s">
        <v>62</v>
      </c>
      <c r="D31" s="12" t="s">
        <v>370</v>
      </c>
      <c r="E31" s="4" t="s">
        <v>603</v>
      </c>
      <c r="F31" s="4" t="str">
        <f t="shared" si="0"/>
        <v>Viên</v>
      </c>
      <c r="G31" s="12" t="s">
        <v>335</v>
      </c>
      <c r="H31" s="11">
        <v>55000</v>
      </c>
      <c r="I31" s="11">
        <v>55000</v>
      </c>
      <c r="J31" s="4">
        <v>1</v>
      </c>
      <c r="K31" s="11">
        <v>700</v>
      </c>
      <c r="L31" s="11">
        <v>70000</v>
      </c>
      <c r="M31" s="5" t="s">
        <v>443</v>
      </c>
      <c r="N31" s="32" t="s">
        <v>478</v>
      </c>
      <c r="O31" s="13">
        <v>46241</v>
      </c>
      <c r="P31" s="30">
        <f t="shared" si="1"/>
        <v>55000</v>
      </c>
      <c r="Q31" s="9" t="str">
        <f t="shared" si="2"/>
        <v>2031-01-13</v>
      </c>
      <c r="R31" t="str">
        <f t="shared" si="3"/>
        <v>INSERT INTO `nhathuoc_bsphong`.`dm_thuoc` (`ma_thuoc`, `ten_thuoc`, `hoat_chat`, `don_vi_chan`, `he_so`, `don_vi_le`, `nhom_thuoc`, `gia_nhap`, `gia_ban`) VALUES ('30', 'Paracetamol Stella 500mg H/100V', 'Paracetamol 500mg', 'Hộp', '1', ' Viên ', '  Giảm đau hạ sốt ', '700', '700');</v>
      </c>
      <c r="S31" t="str">
        <f t="shared" si="10"/>
        <v>INSERT INTO `nhathuoc_bsphong`.`tbl_nk_ct` (`ma_phieu_nhap`, `ma_thuoc`, `ten_thuoc`, `lsx`, `don_vi_le`, `so_luong`, `don_gia`, `thanh_tien`, `hsd`) VALUES ('NK001', '30', '', '020126', 'donvi', '1', '0', '0', '2031-01-13');</v>
      </c>
    </row>
    <row r="32" spans="1:19" ht="15.75">
      <c r="A32">
        <v>31</v>
      </c>
      <c r="B32" s="4" t="s">
        <v>275</v>
      </c>
      <c r="C32" s="4" t="s">
        <v>63</v>
      </c>
      <c r="D32" s="12" t="s">
        <v>170</v>
      </c>
      <c r="E32" s="4" t="s">
        <v>603</v>
      </c>
      <c r="F32" s="4" t="str">
        <f t="shared" si="0"/>
        <v>Viên</v>
      </c>
      <c r="G32" s="12"/>
      <c r="H32" s="11"/>
      <c r="I32" s="11"/>
      <c r="J32" s="4"/>
      <c r="K32">
        <v>0</v>
      </c>
      <c r="L32" s="11"/>
      <c r="M32" s="4"/>
      <c r="N32" s="32"/>
      <c r="O32" s="4"/>
      <c r="P32" s="30">
        <f t="shared" si="1"/>
        <v>0</v>
      </c>
      <c r="Q32" s="9" t="e">
        <f t="shared" si="2"/>
        <v>#VALUE!</v>
      </c>
      <c r="R32" t="str">
        <f t="shared" si="3"/>
        <v>INSERT INTO `nhathuoc_bsphong`.`dm_thuoc` (`ma_thuoc`, `ten_thuoc`, `hoat_chat`, `don_vi_chan`, `he_so`, `don_vi_le`, `nhom_thuoc`, `gia_nhap`, `gia_ban`) VALUES ('31', 'Efferalgan codein H/40v', 'Paracetamol 500mg, Codein 30mg', 'Hộp', '1', ' Viên ', '  Giảm đau hạ sốt ', '0', '0');</v>
      </c>
      <c r="S32" t="e">
        <f t="shared" si="5"/>
        <v>#VALUE!</v>
      </c>
    </row>
    <row r="33" spans="1:19" ht="15.75">
      <c r="A33">
        <v>32</v>
      </c>
      <c r="B33" s="4" t="s">
        <v>26</v>
      </c>
      <c r="C33" s="4" t="s">
        <v>25</v>
      </c>
      <c r="D33" s="12" t="s">
        <v>27</v>
      </c>
      <c r="E33" s="4" t="s">
        <v>603</v>
      </c>
      <c r="F33" s="4" t="str">
        <f t="shared" si="0"/>
        <v>Viên</v>
      </c>
      <c r="G33" s="12" t="s">
        <v>364</v>
      </c>
      <c r="H33" s="11">
        <v>350700</v>
      </c>
      <c r="I33" s="11">
        <v>382380</v>
      </c>
      <c r="J33" s="4">
        <v>1</v>
      </c>
      <c r="K33" s="11">
        <v>12746</v>
      </c>
      <c r="L33" s="11">
        <v>382380</v>
      </c>
      <c r="M33" s="4">
        <v>170925</v>
      </c>
      <c r="N33" s="32" t="s">
        <v>479</v>
      </c>
      <c r="O33" s="13">
        <v>46241</v>
      </c>
      <c r="P33" s="30">
        <f t="shared" si="1"/>
        <v>382380</v>
      </c>
      <c r="Q33" s="9" t="str">
        <f t="shared" si="2"/>
        <v>2028-09-17</v>
      </c>
      <c r="R33" t="str">
        <f t="shared" si="3"/>
        <v>INSERT INTO `nhathuoc_bsphong`.`dm_thuoc` (`ma_thuoc`, `ten_thuoc`, `hoat_chat`, `don_vi_chan`, `he_so`, `don_vi_le`, `nhom_thuoc`, `gia_nhap`, `gia_ban`) VALUES ('32', 'Celebrex 200mg H/30V', 'Celecoxib 200 mg', 'Hộp', '1', ' Viên ', '  Giảm đau, kháng viêm ', '12746', '12746');</v>
      </c>
      <c r="S33" t="str">
        <f>"INSERT INTO `nhathuoc_bsphong`.`tbl_nk_ct` (`ma_phieu_nhap`, `ma_thuoc`, `ten_thuoc`, `lsx`, `don_vi_le`, `so_luong`, `don_gia`, `thanh_tien`, `hsd`) VALUES ('NK001', '" &amp; A33 &amp; "', '', '" &amp; M33 &amp; "', 'donvi', '"&amp; J33 &amp;"', '0', '0', '"&amp; Q33 &amp;"');"</f>
        <v>INSERT INTO `nhathuoc_bsphong`.`tbl_nk_ct` (`ma_phieu_nhap`, `ma_thuoc`, `ten_thuoc`, `lsx`, `don_vi_le`, `so_luong`, `don_gia`, `thanh_tien`, `hsd`) VALUES ('NK001', '32', '', '170925', 'donvi', '1', '0', '0', '2028-09-17');</v>
      </c>
    </row>
    <row r="34" spans="1:19" ht="15.75">
      <c r="A34">
        <v>33</v>
      </c>
      <c r="B34" s="4" t="s">
        <v>26</v>
      </c>
      <c r="C34" s="4" t="s">
        <v>25</v>
      </c>
      <c r="D34" s="4" t="s">
        <v>28</v>
      </c>
      <c r="E34" s="4" t="s">
        <v>603</v>
      </c>
      <c r="F34" s="4" t="str">
        <f t="shared" si="0"/>
        <v>Viên</v>
      </c>
      <c r="G34" s="4"/>
      <c r="H34" s="11"/>
      <c r="I34" s="11"/>
      <c r="J34" s="4"/>
      <c r="K34">
        <v>0</v>
      </c>
      <c r="L34" s="11"/>
      <c r="M34" s="4"/>
      <c r="N34" s="32"/>
      <c r="O34" s="4"/>
      <c r="P34" s="30">
        <f t="shared" si="1"/>
        <v>0</v>
      </c>
      <c r="Q34" s="9" t="e">
        <f t="shared" si="2"/>
        <v>#VALUE!</v>
      </c>
      <c r="R34" t="str">
        <f t="shared" si="3"/>
        <v>INSERT INTO `nhathuoc_bsphong`.`dm_thuoc` (`ma_thuoc`, `ten_thuoc`, `hoat_chat`, `don_vi_chan`, `he_so`, `don_vi_le`, `nhom_thuoc`, `gia_nhap`, `gia_ban`) VALUES ('33', 'Celecoxib 200 mg H/30V', 'Celecoxib 200 mg', 'Hộp', '1', ' Viên ', '  Giảm đau, kháng viêm ', '0', '0');</v>
      </c>
      <c r="S34" t="e">
        <f t="shared" si="5"/>
        <v>#VALUE!</v>
      </c>
    </row>
    <row r="35" spans="1:19" ht="15.75">
      <c r="A35">
        <v>34</v>
      </c>
      <c r="B35" s="4" t="s">
        <v>26</v>
      </c>
      <c r="C35" s="4" t="s">
        <v>149</v>
      </c>
      <c r="D35" s="12" t="s">
        <v>238</v>
      </c>
      <c r="E35" s="4" t="s">
        <v>603</v>
      </c>
      <c r="F35" s="4" t="str">
        <f t="shared" si="0"/>
        <v>Viên</v>
      </c>
      <c r="G35" s="12"/>
      <c r="H35" s="11"/>
      <c r="I35" s="11"/>
      <c r="J35" s="4"/>
      <c r="K35">
        <v>0</v>
      </c>
      <c r="L35" s="11"/>
      <c r="M35" s="4"/>
      <c r="N35" s="32"/>
      <c r="O35" s="4"/>
      <c r="P35" s="30">
        <f t="shared" si="1"/>
        <v>0</v>
      </c>
      <c r="Q35" s="9" t="e">
        <f t="shared" si="2"/>
        <v>#VALUE!</v>
      </c>
      <c r="R35" t="str">
        <f t="shared" si="3"/>
        <v>INSERT INTO `nhathuoc_bsphong`.`dm_thuoc` (`ma_thuoc`, `ten_thuoc`, `hoat_chat`, `don_vi_chan`, `he_so`, `don_vi_le`, `nhom_thuoc`, `gia_nhap`, `gia_ban`) VALUES ('34', 'Voltaren 50 H/100v', 'Diclofenac 50mg', 'Hộp', '1', ' Viên ', '  Giảm đau, kháng viêm ', '0', '0');</v>
      </c>
      <c r="S35" t="e">
        <f t="shared" si="5"/>
        <v>#VALUE!</v>
      </c>
    </row>
    <row r="36" spans="1:19" ht="15.75">
      <c r="A36">
        <v>35</v>
      </c>
      <c r="B36" s="4" t="s">
        <v>26</v>
      </c>
      <c r="C36" s="4" t="s">
        <v>150</v>
      </c>
      <c r="D36" s="12" t="s">
        <v>239</v>
      </c>
      <c r="E36" s="4" t="s">
        <v>603</v>
      </c>
      <c r="F36" s="4" t="str">
        <f t="shared" si="0"/>
        <v>Viên</v>
      </c>
      <c r="G36" s="12"/>
      <c r="H36" s="11"/>
      <c r="I36" s="11"/>
      <c r="J36" s="4"/>
      <c r="K36">
        <v>0</v>
      </c>
      <c r="L36" s="11"/>
      <c r="M36" s="4"/>
      <c r="N36" s="32"/>
      <c r="O36" s="4"/>
      <c r="P36" s="30">
        <f t="shared" si="1"/>
        <v>0</v>
      </c>
      <c r="Q36" s="9" t="e">
        <f t="shared" si="2"/>
        <v>#VALUE!</v>
      </c>
      <c r="R36" t="str">
        <f t="shared" si="3"/>
        <v>INSERT INTO `nhathuoc_bsphong`.`dm_thuoc` (`ma_thuoc`, `ten_thuoc`, `hoat_chat`, `don_vi_chan`, `he_so`, `don_vi_le`, `nhom_thuoc`, `gia_nhap`, `gia_ban`) VALUES ('35', 'Voltaren 75mg H/100v', 'Diclofenac 75mg', 'Hộp', '1', ' Viên ', '  Giảm đau, kháng viêm ', '0', '0');</v>
      </c>
      <c r="S36" t="e">
        <f t="shared" si="5"/>
        <v>#VALUE!</v>
      </c>
    </row>
    <row r="37" spans="1:19" ht="15.75">
      <c r="A37">
        <v>36</v>
      </c>
      <c r="B37" s="4" t="s">
        <v>247</v>
      </c>
      <c r="C37" s="4" t="s">
        <v>33</v>
      </c>
      <c r="D37" s="12" t="s">
        <v>248</v>
      </c>
      <c r="E37" s="4" t="s">
        <v>603</v>
      </c>
      <c r="F37" s="4" t="str">
        <f t="shared" si="0"/>
        <v>Viên</v>
      </c>
      <c r="G37" s="12" t="s">
        <v>373</v>
      </c>
      <c r="H37" s="11">
        <v>65000</v>
      </c>
      <c r="I37" s="11">
        <v>35000</v>
      </c>
      <c r="J37" s="4">
        <v>2</v>
      </c>
      <c r="K37" s="11">
        <v>1300</v>
      </c>
      <c r="L37" s="11">
        <v>65000</v>
      </c>
      <c r="M37" s="4">
        <v>2605059</v>
      </c>
      <c r="N37" s="32" t="s">
        <v>480</v>
      </c>
      <c r="O37" s="13">
        <v>46241</v>
      </c>
      <c r="P37" s="30">
        <f t="shared" si="1"/>
        <v>70000</v>
      </c>
      <c r="Q37" s="9" t="str">
        <f t="shared" si="2"/>
        <v>2029-05-13</v>
      </c>
      <c r="R37" t="str">
        <f t="shared" si="3"/>
        <v>INSERT INTO `nhathuoc_bsphong`.`dm_thuoc` (`ma_thuoc`, `ten_thuoc`, `hoat_chat`, `don_vi_chan`, `he_so`, `don_vi_le`, `nhom_thuoc`, `gia_nhap`, `gia_ban`) VALUES ('36', 'Savi Eperison 50mg H50/V', 'Eperison 50mg', 'Hộp', '1', ' Viên ', '  Giãn cơ ', '1300', '1300');</v>
      </c>
      <c r="S37" t="str">
        <f>"INSERT INTO `nhathuoc_bsphong`.`tbl_nk_ct` (`ma_phieu_nhap`, `ma_thuoc`, `ten_thuoc`, `lsx`, `don_vi_le`, `so_luong`, `don_gia`, `thanh_tien`, `hsd`) VALUES ('NK001', '" &amp; A37 &amp; "', '', '" &amp; M37 &amp; "', 'donvi', '"&amp; J37 &amp;"', '0', '0', '"&amp; Q37 &amp;"');"</f>
        <v>INSERT INTO `nhathuoc_bsphong`.`tbl_nk_ct` (`ma_phieu_nhap`, `ma_thuoc`, `ten_thuoc`, `lsx`, `don_vi_le`, `so_luong`, `don_gia`, `thanh_tien`, `hsd`) VALUES ('NK001', '36', '', '2605059', 'donvi', '2', '0', '0', '2029-05-13');</v>
      </c>
    </row>
    <row r="38" spans="1:19" ht="15.75">
      <c r="A38">
        <v>37</v>
      </c>
      <c r="B38" s="4" t="s">
        <v>272</v>
      </c>
      <c r="C38" s="4" t="s">
        <v>377</v>
      </c>
      <c r="D38" s="12" t="s">
        <v>376</v>
      </c>
      <c r="E38" s="4" t="s">
        <v>603</v>
      </c>
      <c r="F38" s="4" t="str">
        <f t="shared" si="0"/>
        <v/>
      </c>
      <c r="G38" s="12" t="s">
        <v>342</v>
      </c>
      <c r="H38" s="11">
        <v>123400</v>
      </c>
      <c r="I38" s="11">
        <v>120000</v>
      </c>
      <c r="J38" s="4">
        <v>1</v>
      </c>
      <c r="K38" s="11">
        <v>1250</v>
      </c>
      <c r="L38" s="11">
        <v>125000</v>
      </c>
      <c r="M38" s="5" t="s">
        <v>444</v>
      </c>
      <c r="N38" s="32" t="s">
        <v>481</v>
      </c>
      <c r="O38" s="13">
        <v>46241</v>
      </c>
      <c r="P38" s="30">
        <f t="shared" si="1"/>
        <v>120000</v>
      </c>
      <c r="Q38" s="9" t="e">
        <f t="shared" si="2"/>
        <v>#VALUE!</v>
      </c>
      <c r="R38" t="str">
        <f t="shared" si="3"/>
        <v>INSERT INTO `nhathuoc_bsphong`.`dm_thuoc` (`ma_thuoc`, `ten_thuoc`, `hoat_chat`, `don_vi_chan`, `he_so`, `don_vi_le`, `nhom_thuoc`, `gia_nhap`, `gia_ban`) VALUES ('37', 'Etodagim', 'Etodolac 200mg', 'Hộp', '1', '  ', '  Gout ', '1250', '1250');</v>
      </c>
      <c r="S38" t="e">
        <f t="shared" si="5"/>
        <v>#VALUE!</v>
      </c>
    </row>
    <row r="39" spans="1:19" ht="15.75">
      <c r="A39">
        <v>38</v>
      </c>
      <c r="B39" s="4" t="s">
        <v>272</v>
      </c>
      <c r="C39" s="4" t="s">
        <v>59</v>
      </c>
      <c r="D39" s="12" t="s">
        <v>273</v>
      </c>
      <c r="E39" s="4" t="s">
        <v>603</v>
      </c>
      <c r="F39" s="4" t="str">
        <f t="shared" si="0"/>
        <v>Viên</v>
      </c>
      <c r="G39" s="12"/>
      <c r="H39" s="11"/>
      <c r="I39" s="11"/>
      <c r="J39" s="4"/>
      <c r="K39">
        <v>0</v>
      </c>
      <c r="L39" s="11"/>
      <c r="M39" s="4"/>
      <c r="N39" s="32"/>
      <c r="O39" s="4"/>
      <c r="P39" s="30">
        <f t="shared" si="1"/>
        <v>0</v>
      </c>
      <c r="Q39" s="9" t="e">
        <f t="shared" si="2"/>
        <v>#VALUE!</v>
      </c>
      <c r="R39" t="str">
        <f t="shared" si="3"/>
        <v>INSERT INTO `nhathuoc_bsphong`.`dm_thuoc` (`ma_thuoc`, `ten_thuoc`, `hoat_chat`, `don_vi_chan`, `he_so`, `don_vi_le`, `nhom_thuoc`, `gia_nhap`, `gia_ban`) VALUES ('38', 'Dochicin  H/20V', 'Colchicin 1mg', 'Hộp', '1', ' Viên ', '  Gout ', '0', '0');</v>
      </c>
      <c r="S39" t="e">
        <f t="shared" si="5"/>
        <v>#VALUE!</v>
      </c>
    </row>
    <row r="40" spans="1:19" ht="15.75">
      <c r="A40">
        <v>39</v>
      </c>
      <c r="B40" s="4" t="s">
        <v>272</v>
      </c>
      <c r="C40" s="4" t="s">
        <v>68</v>
      </c>
      <c r="D40" s="12" t="s">
        <v>277</v>
      </c>
      <c r="E40" s="4" t="s">
        <v>603</v>
      </c>
      <c r="F40" s="4" t="str">
        <f t="shared" si="0"/>
        <v>Viên</v>
      </c>
      <c r="G40" s="12"/>
      <c r="H40" s="11"/>
      <c r="I40" s="11"/>
      <c r="J40" s="4"/>
      <c r="K40">
        <v>0</v>
      </c>
      <c r="L40" s="11"/>
      <c r="M40" s="4"/>
      <c r="N40" s="32"/>
      <c r="O40" s="4"/>
      <c r="P40" s="30">
        <f t="shared" si="1"/>
        <v>0</v>
      </c>
      <c r="Q40" s="9" t="e">
        <f t="shared" si="2"/>
        <v>#VALUE!</v>
      </c>
      <c r="R40" t="str">
        <f t="shared" si="3"/>
        <v>INSERT INTO `nhathuoc_bsphong`.`dm_thuoc` (`ma_thuoc`, `ten_thuoc`, `hoat_chat`, `don_vi_chan`, `he_so`, `don_vi_le`, `nhom_thuoc`, `gia_nhap`, `gia_ban`) VALUES ('39', 'Fasmat 80 Savipharm H/30V', 'Febuxostat 80 mg', 'Hộp', '1', ' Viên ', '  Gout ', '0', '0');</v>
      </c>
      <c r="S40" t="e">
        <f t="shared" si="5"/>
        <v>#VALUE!</v>
      </c>
    </row>
    <row r="41" spans="1:19" ht="15.75">
      <c r="A41">
        <v>40</v>
      </c>
      <c r="B41" s="4" t="s">
        <v>6</v>
      </c>
      <c r="C41" s="4" t="s">
        <v>3</v>
      </c>
      <c r="D41" s="4" t="s">
        <v>4</v>
      </c>
      <c r="E41" s="4" t="s">
        <v>603</v>
      </c>
      <c r="F41" s="4" t="str">
        <f t="shared" si="0"/>
        <v>Viên</v>
      </c>
      <c r="G41" s="4" t="s">
        <v>335</v>
      </c>
      <c r="H41" s="11">
        <v>75000</v>
      </c>
      <c r="I41" s="11">
        <v>75000</v>
      </c>
      <c r="J41" s="4">
        <v>1</v>
      </c>
      <c r="K41" s="11">
        <v>800</v>
      </c>
      <c r="L41" s="11">
        <v>80000</v>
      </c>
      <c r="M41" s="4">
        <v>301225</v>
      </c>
      <c r="N41" s="32" t="s">
        <v>482</v>
      </c>
      <c r="O41" s="4" t="s">
        <v>593</v>
      </c>
      <c r="P41" s="30">
        <f t="shared" si="1"/>
        <v>75000</v>
      </c>
      <c r="Q41" s="9" t="str">
        <f t="shared" si="2"/>
        <v>2028-12-16</v>
      </c>
      <c r="R41" t="str">
        <f t="shared" si="3"/>
        <v>INSERT INTO `nhathuoc_bsphong`.`dm_thuoc` (`ma_thuoc`, `ten_thuoc`, `hoat_chat`, `don_vi_chan`, `he_so`, `don_vi_le`, `nhom_thuoc`, `gia_nhap`, `gia_ban`) VALUES ('40', 'ACEMUC 200 H/30V', 'Acetylcystein 200ng', 'Hộp', '1', ' Viên ', '  Hô hấp ', '800', '800');</v>
      </c>
      <c r="S41" t="str">
        <f>"INSERT INTO `nhathuoc_bsphong`.`tbl_nk_ct` (`ma_phieu_nhap`, `ma_thuoc`, `ten_thuoc`, `lsx`, `don_vi_le`, `so_luong`, `don_gia`, `thanh_tien`, `hsd`) VALUES ('NK001', '" &amp; A41 &amp; "', '', '" &amp; M41 &amp; "', 'donvi', '"&amp; J41 &amp;"', '0', '0', '"&amp; Q41 &amp;"');"</f>
        <v>INSERT INTO `nhathuoc_bsphong`.`tbl_nk_ct` (`ma_phieu_nhap`, `ma_thuoc`, `ten_thuoc`, `lsx`, `don_vi_le`, `so_luong`, `don_gia`, `thanh_tien`, `hsd`) VALUES ('NK001', '40', '', '301225', 'donvi', '1', '0', '0', '2028-12-16');</v>
      </c>
    </row>
    <row r="42" spans="1:19" ht="15.75">
      <c r="A42">
        <v>41</v>
      </c>
      <c r="B42" s="4" t="s">
        <v>6</v>
      </c>
      <c r="C42" s="4" t="s">
        <v>41</v>
      </c>
      <c r="D42" s="12" t="s">
        <v>155</v>
      </c>
      <c r="E42" s="4" t="s">
        <v>603</v>
      </c>
      <c r="F42" s="4" t="str">
        <f t="shared" si="0"/>
        <v>Viên</v>
      </c>
      <c r="G42" s="12"/>
      <c r="H42" s="11"/>
      <c r="I42" s="11"/>
      <c r="J42" s="4"/>
      <c r="K42">
        <v>0</v>
      </c>
      <c r="L42" s="11"/>
      <c r="M42" s="4"/>
      <c r="N42" s="32"/>
      <c r="O42" s="4"/>
      <c r="P42" s="30">
        <f t="shared" si="1"/>
        <v>0</v>
      </c>
      <c r="Q42" s="9" t="e">
        <f t="shared" si="2"/>
        <v>#VALUE!</v>
      </c>
      <c r="R42" t="str">
        <f t="shared" si="3"/>
        <v>INSERT INTO `nhathuoc_bsphong`.`dm_thuoc` (`ma_thuoc`, `ten_thuoc`, `hoat_chat`, `don_vi_chan`, `he_so`, `don_vi_le`, `nhom_thuoc`, `gia_nhap`, `gia_ban`) VALUES ('41', 'Bambec 10 H/30v', 'Bambuterol 10mg', 'Hộp', '1', ' Viên ', '  Hô hấp ', '0', '0');</v>
      </c>
      <c r="S42" t="e">
        <f t="shared" si="5"/>
        <v>#VALUE!</v>
      </c>
    </row>
    <row r="43" spans="1:19" ht="15.75">
      <c r="A43">
        <v>42</v>
      </c>
      <c r="B43" s="4" t="s">
        <v>6</v>
      </c>
      <c r="C43" s="4" t="s">
        <v>44</v>
      </c>
      <c r="D43" s="12" t="s">
        <v>157</v>
      </c>
      <c r="E43" s="4" t="s">
        <v>603</v>
      </c>
      <c r="F43" s="4" t="str">
        <f t="shared" si="0"/>
        <v>Viên</v>
      </c>
      <c r="G43" s="12" t="s">
        <v>336</v>
      </c>
      <c r="H43" s="11">
        <v>15500</v>
      </c>
      <c r="I43" s="11">
        <v>12000</v>
      </c>
      <c r="J43" s="4">
        <v>3</v>
      </c>
      <c r="K43" s="11">
        <v>800</v>
      </c>
      <c r="L43" s="11">
        <v>16000</v>
      </c>
      <c r="M43" s="4">
        <v>170079</v>
      </c>
      <c r="N43" s="32">
        <v>46876</v>
      </c>
      <c r="O43" s="4" t="s">
        <v>593</v>
      </c>
      <c r="P43" s="30">
        <f t="shared" si="1"/>
        <v>36000</v>
      </c>
      <c r="Q43" s="9" t="str">
        <f t="shared" si="2"/>
        <v>2028-05-03</v>
      </c>
      <c r="R43" t="str">
        <f t="shared" si="3"/>
        <v>INSERT INTO `nhathuoc_bsphong`.`dm_thuoc` (`ma_thuoc`, `ten_thuoc`, `hoat_chat`, `don_vi_chan`, `he_so`, `don_vi_le`, `nhom_thuoc`, `gia_nhap`, `gia_ban`) VALUES ('42', 'BROMHEXIN 8 H/200V', 'Bromhexine 8mg', 'Hộp', '1', ' Viên ', '  Hô hấp ', '800', '800');</v>
      </c>
      <c r="S43" t="str">
        <f t="shared" ref="S43:S45" si="11">"INSERT INTO `nhathuoc_bsphong`.`tbl_nk_ct` (`ma_phieu_nhap`, `ma_thuoc`, `ten_thuoc`, `lsx`, `don_vi_le`, `so_luong`, `don_gia`, `thanh_tien`, `hsd`) VALUES ('NK001', '" &amp; A43 &amp; "', '', '" &amp; M43 &amp; "', 'donvi', '"&amp; J43 &amp;"', '0', '0', '"&amp; Q43 &amp;"');"</f>
        <v>INSERT INTO `nhathuoc_bsphong`.`tbl_nk_ct` (`ma_phieu_nhap`, `ma_thuoc`, `ten_thuoc`, `lsx`, `don_vi_le`, `so_luong`, `don_gia`, `thanh_tien`, `hsd`) VALUES ('NK001', '42', '', '170079', 'donvi', '3', '0', '0', '2028-05-03');</v>
      </c>
    </row>
    <row r="44" spans="1:19" ht="15.75">
      <c r="A44">
        <v>43</v>
      </c>
      <c r="B44" s="4" t="s">
        <v>6</v>
      </c>
      <c r="C44" s="4" t="s">
        <v>109</v>
      </c>
      <c r="D44" s="12" t="s">
        <v>201</v>
      </c>
      <c r="E44" s="4" t="s">
        <v>603</v>
      </c>
      <c r="F44" s="4" t="str">
        <f t="shared" si="0"/>
        <v/>
      </c>
      <c r="G44" s="12" t="s">
        <v>328</v>
      </c>
      <c r="H44" s="11">
        <v>300000</v>
      </c>
      <c r="I44" s="11">
        <v>300000</v>
      </c>
      <c r="J44" s="4">
        <v>0.5</v>
      </c>
      <c r="K44" s="11">
        <v>15250</v>
      </c>
      <c r="L44" s="11">
        <v>305000</v>
      </c>
      <c r="M44" s="4">
        <v>331163</v>
      </c>
      <c r="N44" s="32">
        <v>46449</v>
      </c>
      <c r="O44" s="13">
        <v>46241</v>
      </c>
      <c r="P44" s="30">
        <f t="shared" si="1"/>
        <v>150000</v>
      </c>
      <c r="Q44" s="9" t="str">
        <f t="shared" si="2"/>
        <v>2027-03-03</v>
      </c>
      <c r="R44" t="str">
        <f t="shared" si="3"/>
        <v>INSERT INTO `nhathuoc_bsphong`.`dm_thuoc` (`ma_thuoc`, `ten_thuoc`, `hoat_chat`, `don_vi_chan`, `he_so`, `don_vi_le`, `nhom_thuoc`, `gia_nhap`, `gia_ban`) VALUES ('43', 'Phun khí dung Pulmicort H/20A', 'Budesonide 500mcg/2ml', 'Hộp', '1', '  ', '  Hô hấp ', '15250', '15250');</v>
      </c>
      <c r="S44" t="str">
        <f t="shared" si="11"/>
        <v>INSERT INTO `nhathuoc_bsphong`.`tbl_nk_ct` (`ma_phieu_nhap`, `ma_thuoc`, `ten_thuoc`, `lsx`, `don_vi_le`, `so_luong`, `don_gia`, `thanh_tien`, `hsd`) VALUES ('NK001', '43', '', '331163', 'donvi', '0.5', '0', '0', '2027-03-03');</v>
      </c>
    </row>
    <row r="45" spans="1:19" ht="15.75">
      <c r="A45">
        <v>44</v>
      </c>
      <c r="B45" s="4" t="s">
        <v>6</v>
      </c>
      <c r="C45" s="4" t="s">
        <v>114</v>
      </c>
      <c r="D45" s="12" t="s">
        <v>365</v>
      </c>
      <c r="E45" s="4" t="s">
        <v>603</v>
      </c>
      <c r="F45" s="4" t="str">
        <f t="shared" si="0"/>
        <v/>
      </c>
      <c r="G45" s="12" t="s">
        <v>366</v>
      </c>
      <c r="H45" s="11">
        <v>93000</v>
      </c>
      <c r="I45" s="11">
        <v>82000</v>
      </c>
      <c r="J45" s="4">
        <v>2</v>
      </c>
      <c r="K45" s="11">
        <v>93000</v>
      </c>
      <c r="L45" s="11">
        <v>93000</v>
      </c>
      <c r="M45" s="4" t="s">
        <v>445</v>
      </c>
      <c r="N45" s="32" t="s">
        <v>483</v>
      </c>
      <c r="O45" s="13">
        <v>46241</v>
      </c>
      <c r="P45" s="30">
        <f t="shared" si="1"/>
        <v>164000</v>
      </c>
      <c r="Q45" s="9" t="str">
        <f t="shared" si="2"/>
        <v>2028-08-31</v>
      </c>
      <c r="R45" t="str">
        <f t="shared" si="3"/>
        <v>INSERT INTO `nhathuoc_bsphong`.`dm_thuoc` (`ma_thuoc`, `ten_thuoc`, `hoat_chat`, `don_vi_chan`, `he_so`, `don_vi_le`, `nhom_thuoc`, `gia_nhap`, `gia_ban`) VALUES ('44', 'Prospan 85ml siro', 'Cao khô lá Thường xuân 0.7g', 'Hộp', '1', '  ', '  Hô hấp ', '93000', '93000');</v>
      </c>
      <c r="S45" t="str">
        <f t="shared" si="11"/>
        <v>INSERT INTO `nhathuoc_bsphong`.`tbl_nk_ct` (`ma_phieu_nhap`, `ma_thuoc`, `ten_thuoc`, `lsx`, `don_vi_le`, `so_luong`, `don_gia`, `thanh_tien`, `hsd`) VALUES ('NK001', '44', '', '25K133A', 'donvi', '2', '0', '0', '2028-08-31');</v>
      </c>
    </row>
    <row r="46" spans="1:19" ht="15.75">
      <c r="A46">
        <v>45</v>
      </c>
      <c r="B46" s="4" t="s">
        <v>6</v>
      </c>
      <c r="C46" s="4" t="s">
        <v>100</v>
      </c>
      <c r="D46" s="12" t="s">
        <v>194</v>
      </c>
      <c r="E46" s="4" t="s">
        <v>603</v>
      </c>
      <c r="F46" s="4" t="str">
        <f t="shared" si="0"/>
        <v>Viên</v>
      </c>
      <c r="G46" s="12"/>
      <c r="H46" s="11"/>
      <c r="I46" s="11"/>
      <c r="J46" s="4"/>
      <c r="K46">
        <v>0</v>
      </c>
      <c r="L46" s="11"/>
      <c r="M46" s="4"/>
      <c r="N46" s="32"/>
      <c r="O46" s="4"/>
      <c r="P46" s="30">
        <f t="shared" si="1"/>
        <v>0</v>
      </c>
      <c r="Q46" s="9" t="e">
        <f t="shared" si="2"/>
        <v>#VALUE!</v>
      </c>
      <c r="R46" t="str">
        <f t="shared" si="3"/>
        <v>INSERT INTO `nhathuoc_bsphong`.`dm_thuoc` (`ma_thuoc`, `ten_thuoc`, `hoat_chat`, `don_vi_chan`, `he_so`, `don_vi_le`, `nhom_thuoc`, `gia_nhap`, `gia_ban`) VALUES ('45', 'Muscino H/100v', 'Codein 10mg, Glyceryl 100mg', 'Hộp', '1', ' Viên ', '  Hô hấp ', '0', '0');</v>
      </c>
      <c r="S46" t="e">
        <f t="shared" si="5"/>
        <v>#VALUE!</v>
      </c>
    </row>
    <row r="47" spans="1:19" ht="15.75">
      <c r="A47">
        <v>46</v>
      </c>
      <c r="B47" s="4" t="s">
        <v>6</v>
      </c>
      <c r="C47" s="4" t="s">
        <v>71</v>
      </c>
      <c r="D47" s="12" t="s">
        <v>374</v>
      </c>
      <c r="E47" s="4" t="s">
        <v>603</v>
      </c>
      <c r="F47" s="4" t="str">
        <f t="shared" si="0"/>
        <v/>
      </c>
      <c r="G47" s="12" t="s">
        <v>375</v>
      </c>
      <c r="H47" s="11">
        <v>100000</v>
      </c>
      <c r="I47" s="11">
        <v>80000</v>
      </c>
      <c r="J47" s="4">
        <v>2</v>
      </c>
      <c r="K47" s="11">
        <v>100000</v>
      </c>
      <c r="L47" s="11">
        <v>100000</v>
      </c>
      <c r="M47" s="5" t="s">
        <v>446</v>
      </c>
      <c r="N47" s="32" t="s">
        <v>484</v>
      </c>
      <c r="O47" s="13">
        <v>46241</v>
      </c>
      <c r="P47" s="30">
        <f t="shared" si="1"/>
        <v>160000</v>
      </c>
      <c r="Q47" s="9" t="str">
        <f t="shared" si="2"/>
        <v>2028-11-19</v>
      </c>
      <c r="R47" t="str">
        <f t="shared" si="3"/>
        <v>INSERT INTO `nhathuoc_bsphong`.`dm_thuoc` (`ma_thuoc`, `ten_thuoc`, `hoat_chat`, `don_vi_chan`, `he_so`, `don_vi_le`, `nhom_thuoc`, `gia_nhap`, `gia_ban`) VALUES ('46', 'Meseca xịt', 'Fluticasone 50mg', 'Hộp', '1', '  ', '  Hô hấp ', '100000', '100000');</v>
      </c>
      <c r="S47" t="str">
        <f>"INSERT INTO `nhathuoc_bsphong`.`tbl_nk_ct` (`ma_phieu_nhap`, `ma_thuoc`, `ten_thuoc`, `lsx`, `don_vi_le`, `so_luong`, `don_gia`, `thanh_tien`, `hsd`) VALUES ('NK001', '" &amp; A47 &amp; "', '', '" &amp; M47 &amp; "', 'donvi', '"&amp; J47 &amp;"', '0', '0', '"&amp; Q47 &amp;"');"</f>
        <v>INSERT INTO `nhathuoc_bsphong`.`tbl_nk_ct` (`ma_phieu_nhap`, `ma_thuoc`, `ten_thuoc`, `lsx`, `don_vi_le`, `so_luong`, `don_gia`, `thanh_tien`, `hsd`) VALUES ('NK001', '46', '', '0141125', 'donvi', '2', '0', '0', '2028-11-19');</v>
      </c>
    </row>
    <row r="48" spans="1:19" ht="15.75">
      <c r="A48">
        <v>47</v>
      </c>
      <c r="B48" s="4" t="s">
        <v>6</v>
      </c>
      <c r="C48" s="4" t="s">
        <v>295</v>
      </c>
      <c r="D48" s="12" t="s">
        <v>181</v>
      </c>
      <c r="E48" s="4" t="s">
        <v>603</v>
      </c>
      <c r="F48" s="4" t="str">
        <f t="shared" si="0"/>
        <v/>
      </c>
      <c r="G48" s="12"/>
      <c r="H48" s="11"/>
      <c r="I48" s="11"/>
      <c r="J48" s="4"/>
      <c r="K48">
        <v>0</v>
      </c>
      <c r="L48" s="11"/>
      <c r="M48" s="4"/>
      <c r="N48" s="32"/>
      <c r="O48" s="4"/>
      <c r="P48" s="30">
        <f t="shared" si="1"/>
        <v>0</v>
      </c>
      <c r="Q48" s="9" t="e">
        <f t="shared" si="2"/>
        <v>#VALUE!</v>
      </c>
      <c r="R48" t="str">
        <f t="shared" si="3"/>
        <v>INSERT INTO `nhathuoc_bsphong`.`dm_thuoc` (`ma_thuoc`, `ten_thuoc`, `hoat_chat`, `don_vi_chan`, `he_so`, `don_vi_le`, `nhom_thuoc`, `gia_nhap`, `gia_ban`) VALUES ('47', 'Kẹo Bảo Thanh xanh H/20 vỉ', 'Kẹo ngậm', 'Hộp', '1', '  ', '  Hô hấp ', '0', '0');</v>
      </c>
      <c r="S48" t="e">
        <f t="shared" si="5"/>
        <v>#VALUE!</v>
      </c>
    </row>
    <row r="49" spans="1:19" ht="17.100000000000001" customHeight="1">
      <c r="A49">
        <v>48</v>
      </c>
      <c r="B49" s="4" t="s">
        <v>6</v>
      </c>
      <c r="C49" s="4" t="s">
        <v>99</v>
      </c>
      <c r="D49" s="12" t="s">
        <v>193</v>
      </c>
      <c r="E49" s="4" t="s">
        <v>603</v>
      </c>
      <c r="F49" s="4" t="str">
        <f t="shared" si="0"/>
        <v>Viên</v>
      </c>
      <c r="G49" s="12"/>
      <c r="H49" s="11"/>
      <c r="I49" s="11"/>
      <c r="J49" s="4"/>
      <c r="K49">
        <v>0</v>
      </c>
      <c r="L49" s="11"/>
      <c r="M49" s="4"/>
      <c r="N49" s="32"/>
      <c r="O49" s="4"/>
      <c r="P49" s="30">
        <f t="shared" si="1"/>
        <v>0</v>
      </c>
      <c r="Q49" s="9" t="e">
        <f t="shared" si="2"/>
        <v>#VALUE!</v>
      </c>
      <c r="R49" t="str">
        <f t="shared" si="3"/>
        <v>INSERT INTO `nhathuoc_bsphong`.`dm_thuoc` (`ma_thuoc`, `ten_thuoc`, `hoat_chat`, `don_vi_chan`, `he_so`, `don_vi_le`, `nhom_thuoc`, `gia_nhap`, `gia_ban`) VALUES ('48', 'Montiget 5 H/14v', 'Montelukast 5mg', 'Hộp', '1', ' Viên ', '  Hô hấp ', '0', '0');</v>
      </c>
      <c r="S49" t="e">
        <f t="shared" si="5"/>
        <v>#VALUE!</v>
      </c>
    </row>
    <row r="50" spans="1:19" ht="15.75">
      <c r="A50">
        <v>49</v>
      </c>
      <c r="B50" s="4" t="s">
        <v>6</v>
      </c>
      <c r="C50" s="4" t="s">
        <v>146</v>
      </c>
      <c r="D50" s="12" t="s">
        <v>236</v>
      </c>
      <c r="E50" s="4" t="s">
        <v>603</v>
      </c>
      <c r="F50" s="4" t="str">
        <f t="shared" si="0"/>
        <v/>
      </c>
      <c r="G50" s="12" t="s">
        <v>348</v>
      </c>
      <c r="H50" s="11">
        <v>115000</v>
      </c>
      <c r="I50" s="11">
        <v>105000</v>
      </c>
      <c r="J50" s="4">
        <v>2</v>
      </c>
      <c r="K50" s="11">
        <v>115000</v>
      </c>
      <c r="L50" s="11">
        <v>115000</v>
      </c>
      <c r="M50" s="4" t="s">
        <v>447</v>
      </c>
      <c r="N50" s="32">
        <v>46546</v>
      </c>
      <c r="O50" s="13">
        <v>46241</v>
      </c>
      <c r="P50" s="30">
        <f t="shared" si="1"/>
        <v>210000</v>
      </c>
      <c r="Q50" s="9" t="str">
        <f t="shared" si="2"/>
        <v>2027-06-08</v>
      </c>
      <c r="R50" t="str">
        <f t="shared" si="3"/>
        <v>INSERT INTO `nhathuoc_bsphong`.`dm_thuoc` (`ma_thuoc`, `ten_thuoc`, `hoat_chat`, `don_vi_chan`, `he_so`, `don_vi_le`, `nhom_thuoc`, `gia_nhap`, `gia_ban`) VALUES ('49', 'Ventolin xịt', 'Salbutamol 0.1mg/liều', 'Hộp', '1', '  ', '  Hô hấp ', '115000', '115000');</v>
      </c>
      <c r="S50" t="str">
        <f>"INSERT INTO `nhathuoc_bsphong`.`tbl_nk_ct` (`ma_phieu_nhap`, `ma_thuoc`, `ten_thuoc`, `lsx`, `don_vi_le`, `so_luong`, `don_gia`, `thanh_tien`, `hsd`) VALUES ('NK001', '" &amp; A50 &amp; "', '', '" &amp; M50 &amp; "', 'donvi', '"&amp; J50 &amp;"', '0', '0', '"&amp; Q50 &amp;"');"</f>
        <v>INSERT INTO `nhathuoc_bsphong`.`tbl_nk_ct` (`ma_phieu_nhap`, `ma_thuoc`, `ten_thuoc`, `lsx`, `don_vi_le`, `so_luong`, `don_gia`, `thanh_tien`, `hsd`) VALUES ('NK001', '49', '', 'U92M', 'donvi', '2', '0', '0', '2027-06-08');</v>
      </c>
    </row>
    <row r="51" spans="1:19" ht="15.75">
      <c r="A51">
        <v>50</v>
      </c>
      <c r="B51" s="4" t="s">
        <v>6</v>
      </c>
      <c r="C51" s="4" t="s">
        <v>406</v>
      </c>
      <c r="D51" s="12" t="s">
        <v>407</v>
      </c>
      <c r="E51" s="4" t="s">
        <v>603</v>
      </c>
      <c r="F51" s="4" t="str">
        <f t="shared" si="0"/>
        <v>Viên</v>
      </c>
      <c r="G51" s="12"/>
      <c r="H51" s="11"/>
      <c r="I51" s="11"/>
      <c r="J51" s="4"/>
      <c r="K51">
        <v>0</v>
      </c>
      <c r="L51" s="11"/>
      <c r="M51" s="4"/>
      <c r="N51" s="32"/>
      <c r="O51" s="4"/>
      <c r="P51" s="30">
        <f t="shared" si="1"/>
        <v>0</v>
      </c>
      <c r="Q51" s="9" t="e">
        <f t="shared" si="2"/>
        <v>#VALUE!</v>
      </c>
      <c r="R51" t="str">
        <f t="shared" si="3"/>
        <v>INSERT INTO `nhathuoc_bsphong`.`dm_thuoc` (`ma_thuoc`, `ten_thuoc`, `hoat_chat`, `don_vi_chan`, `he_so`, `don_vi_le`, `nhom_thuoc`, `gia_nhap`, `gia_ban`) VALUES ('50', 'Sabumol Dopharma 2 H/100v', 'Salbutamol 2mg', 'Hộp', '1', ' Viên ', '  Hô hấp ', '0', '0');</v>
      </c>
      <c r="S51" t="e">
        <f t="shared" si="5"/>
        <v>#VALUE!</v>
      </c>
    </row>
    <row r="52" spans="1:19" ht="15.75">
      <c r="A52">
        <v>51</v>
      </c>
      <c r="B52" s="4" t="s">
        <v>6</v>
      </c>
      <c r="C52" s="4" t="s">
        <v>108</v>
      </c>
      <c r="D52" s="12" t="s">
        <v>200</v>
      </c>
      <c r="E52" s="4" t="s">
        <v>603</v>
      </c>
      <c r="F52" s="4" t="str">
        <f t="shared" si="0"/>
        <v/>
      </c>
      <c r="G52" s="12" t="s">
        <v>354</v>
      </c>
      <c r="H52" s="11">
        <v>162000</v>
      </c>
      <c r="I52" s="11">
        <v>162000</v>
      </c>
      <c r="J52" s="4">
        <v>2</v>
      </c>
      <c r="K52" s="11">
        <v>16500</v>
      </c>
      <c r="L52" s="11">
        <v>165000</v>
      </c>
      <c r="M52" s="4">
        <v>5984207</v>
      </c>
      <c r="N52" s="32">
        <v>46428</v>
      </c>
      <c r="O52" s="13">
        <v>46241</v>
      </c>
      <c r="P52" s="30">
        <f t="shared" si="1"/>
        <v>324000</v>
      </c>
      <c r="Q52" s="9" t="str">
        <f t="shared" si="2"/>
        <v>2027-02-10</v>
      </c>
      <c r="R52" t="str">
        <f t="shared" si="3"/>
        <v>INSERT INTO `nhathuoc_bsphong`.`dm_thuoc` (`ma_thuoc`, `ten_thuoc`, `hoat_chat`, `don_vi_chan`, `he_so`, `don_vi_le`, `nhom_thuoc`, `gia_nhap`, `gia_ban`) VALUES ('51', 'Phun khí dung Combivent H/10A', 'Salbutamol 3010mcg, Ipratropium bromid 520mcg', 'Hộp', '1', '  ', '  Hô hấp ', '16500', '16500');</v>
      </c>
      <c r="S52" t="str">
        <f>"INSERT INTO `nhathuoc_bsphong`.`tbl_nk_ct` (`ma_phieu_nhap`, `ma_thuoc`, `ten_thuoc`, `lsx`, `don_vi_le`, `so_luong`, `don_gia`, `thanh_tien`, `hsd`) VALUES ('NK001', '" &amp; A52 &amp; "', '', '" &amp; M52 &amp; "', 'donvi', '"&amp; J52 &amp;"', '0', '0', '"&amp; Q52 &amp;"');"</f>
        <v>INSERT INTO `nhathuoc_bsphong`.`tbl_nk_ct` (`ma_phieu_nhap`, `ma_thuoc`, `ten_thuoc`, `lsx`, `don_vi_le`, `so_luong`, `don_gia`, `thanh_tien`, `hsd`) VALUES ('NK001', '51', '', '5984207', 'donvi', '2', '0', '0', '2027-02-10');</v>
      </c>
    </row>
    <row r="53" spans="1:19" ht="15.75">
      <c r="A53">
        <v>52</v>
      </c>
      <c r="B53" s="4" t="s">
        <v>6</v>
      </c>
      <c r="C53" s="4" t="s">
        <v>110</v>
      </c>
      <c r="D53" s="12" t="s">
        <v>202</v>
      </c>
      <c r="E53" s="4" t="s">
        <v>603</v>
      </c>
      <c r="F53" s="4" t="str">
        <f t="shared" si="0"/>
        <v/>
      </c>
      <c r="G53" s="12"/>
      <c r="H53" s="11"/>
      <c r="I53" s="11"/>
      <c r="J53" s="4"/>
      <c r="K53">
        <v>0</v>
      </c>
      <c r="L53" s="11"/>
      <c r="M53" s="4"/>
      <c r="N53" s="32"/>
      <c r="O53" s="4"/>
      <c r="P53" s="30">
        <f t="shared" si="1"/>
        <v>0</v>
      </c>
      <c r="Q53" s="9" t="e">
        <f t="shared" si="2"/>
        <v>#VALUE!</v>
      </c>
      <c r="R53" t="str">
        <f t="shared" si="3"/>
        <v>INSERT INTO `nhathuoc_bsphong`.`dm_thuoc` (`ma_thuoc`, `ten_thuoc`, `hoat_chat`, `don_vi_chan`, `he_so`, `don_vi_le`, `nhom_thuoc`, `gia_nhap`, `gia_ban`) VALUES ('52', 'Phun khí dung Ventolin 5 H/30A', 'Salbutamol 5mg/2.5ml', 'Hộp', '1', '  ', '  Hô hấp ', '0', '0');</v>
      </c>
      <c r="S53" t="e">
        <f t="shared" si="5"/>
        <v>#VALUE!</v>
      </c>
    </row>
    <row r="54" spans="1:19" ht="15.75">
      <c r="A54">
        <v>53</v>
      </c>
      <c r="B54" s="4" t="s">
        <v>242</v>
      </c>
      <c r="C54" s="4" t="s">
        <v>355</v>
      </c>
      <c r="D54" s="12" t="s">
        <v>357</v>
      </c>
      <c r="E54" s="4" t="s">
        <v>603</v>
      </c>
      <c r="F54" s="4" t="str">
        <f t="shared" si="0"/>
        <v>Viên</v>
      </c>
      <c r="G54" s="12" t="s">
        <v>356</v>
      </c>
      <c r="H54" s="11">
        <f>450*100</f>
        <v>45000</v>
      </c>
      <c r="I54" s="11">
        <v>30000</v>
      </c>
      <c r="J54" s="4">
        <v>1</v>
      </c>
      <c r="K54" s="11">
        <v>600</v>
      </c>
      <c r="L54" s="11">
        <v>60000</v>
      </c>
      <c r="M54" s="4">
        <v>460525</v>
      </c>
      <c r="N54" s="32" t="s">
        <v>485</v>
      </c>
      <c r="O54" s="13">
        <v>46241</v>
      </c>
      <c r="P54" s="30">
        <f t="shared" si="1"/>
        <v>30000</v>
      </c>
      <c r="Q54" s="9" t="str">
        <f t="shared" si="2"/>
        <v>2028-05-14</v>
      </c>
      <c r="R54" t="str">
        <f t="shared" si="3"/>
        <v>INSERT INTO `nhathuoc_bsphong`.`dm_thuoc` (`ma_thuoc`, `ten_thuoc`, `hoat_chat`, `don_vi_chan`, `he_so`, `don_vi_le`, `nhom_thuoc`, `gia_nhap`, `gia_ban`) VALUES ('53', 'Clanzen Khaphaco 10 H/100v', 'Levocetirizine 5mg', 'Hộp', '1', ' Viên ', '  Kháng Histamin ', '600', '600');</v>
      </c>
      <c r="S54" t="str">
        <f t="shared" ref="S54:S55" si="12">"INSERT INTO `nhathuoc_bsphong`.`tbl_nk_ct` (`ma_phieu_nhap`, `ma_thuoc`, `ten_thuoc`, `lsx`, `don_vi_le`, `so_luong`, `don_gia`, `thanh_tien`, `hsd`) VALUES ('NK001', '" &amp; A54 &amp; "', '', '" &amp; M54 &amp; "', 'donvi', '"&amp; J54 &amp;"', '0', '0', '"&amp; Q54 &amp;"');"</f>
        <v>INSERT INTO `nhathuoc_bsphong`.`tbl_nk_ct` (`ma_phieu_nhap`, `ma_thuoc`, `ten_thuoc`, `lsx`, `don_vi_le`, `so_luong`, `don_gia`, `thanh_tien`, `hsd`) VALUES ('NK001', '53', '', '460525', 'donvi', '1', '0', '0', '2028-05-14');</v>
      </c>
    </row>
    <row r="55" spans="1:19" ht="15.75">
      <c r="A55">
        <v>54</v>
      </c>
      <c r="B55" s="4" t="s">
        <v>242</v>
      </c>
      <c r="C55" s="4" t="s">
        <v>49</v>
      </c>
      <c r="D55" s="12" t="s">
        <v>255</v>
      </c>
      <c r="E55" s="4" t="s">
        <v>603</v>
      </c>
      <c r="F55" s="4" t="str">
        <f t="shared" si="0"/>
        <v>Viên</v>
      </c>
      <c r="G55" s="12" t="s">
        <v>356</v>
      </c>
      <c r="H55" s="11">
        <v>5000</v>
      </c>
      <c r="I55" s="11">
        <v>3000</v>
      </c>
      <c r="J55" s="4">
        <v>1</v>
      </c>
      <c r="K55" s="11">
        <v>300</v>
      </c>
      <c r="L55" s="11">
        <v>30000</v>
      </c>
      <c r="M55" s="4">
        <v>87687</v>
      </c>
      <c r="N55" s="32">
        <v>46545</v>
      </c>
      <c r="O55" s="13">
        <v>46241</v>
      </c>
      <c r="P55" s="30">
        <f t="shared" si="1"/>
        <v>3000</v>
      </c>
      <c r="Q55" s="9" t="str">
        <f t="shared" si="2"/>
        <v>2027-06-07</v>
      </c>
      <c r="R55" t="str">
        <f t="shared" si="3"/>
        <v>INSERT INTO `nhathuoc_bsphong`.`dm_thuoc` (`ma_thuoc`, `ten_thuoc`, `hoat_chat`, `don_vi_chan`, `he_so`, `don_vi_le`, `nhom_thuoc`, `gia_nhap`, `gia_ban`) VALUES ('54', 'Clorpheniramin 4mg Khapharco H/200V', 'Clorpheniramin 4mg', 'Hộp', '1', ' Viên ', '  Kháng Histamin ', '300', '300');</v>
      </c>
      <c r="S55" t="str">
        <f t="shared" si="12"/>
        <v>INSERT INTO `nhathuoc_bsphong`.`tbl_nk_ct` (`ma_phieu_nhap`, `ma_thuoc`, `ten_thuoc`, `lsx`, `don_vi_le`, `so_luong`, `don_gia`, `thanh_tien`, `hsd`) VALUES ('NK001', '54', '', '87687', 'donvi', '1', '0', '0', '2027-06-07');</v>
      </c>
    </row>
    <row r="56" spans="1:19" ht="15.75">
      <c r="A56">
        <v>55</v>
      </c>
      <c r="B56" s="4" t="s">
        <v>242</v>
      </c>
      <c r="C56" s="4" t="s">
        <v>31</v>
      </c>
      <c r="D56" s="12" t="s">
        <v>408</v>
      </c>
      <c r="E56" s="4" t="s">
        <v>603</v>
      </c>
      <c r="F56" s="4" t="str">
        <f t="shared" si="0"/>
        <v>Viên</v>
      </c>
      <c r="G56" s="12"/>
      <c r="H56" s="11"/>
      <c r="I56" s="11"/>
      <c r="J56" s="4"/>
      <c r="K56">
        <v>0</v>
      </c>
      <c r="L56" s="11"/>
      <c r="M56" s="4"/>
      <c r="N56" s="32"/>
      <c r="O56" s="4"/>
      <c r="P56" s="30">
        <f t="shared" si="1"/>
        <v>0</v>
      </c>
      <c r="Q56" s="9" t="e">
        <f t="shared" si="2"/>
        <v>#VALUE!</v>
      </c>
      <c r="R56" t="str">
        <f t="shared" si="3"/>
        <v>INSERT INTO `nhathuoc_bsphong`.`dm_thuoc` (`ma_thuoc`, `ten_thuoc`, `hoat_chat`, `don_vi_chan`, `he_so`, `don_vi_le`, `nhom_thuoc`, `gia_nhap`, `gia_ban`) VALUES ('55', 'Apifexo 180 H/30v', 'Fexofenadin 180mg', 'Hộp', '1', ' Viên ', '  Kháng Histamin ', '0', '0');</v>
      </c>
      <c r="S56" t="e">
        <f t="shared" si="5"/>
        <v>#VALUE!</v>
      </c>
    </row>
    <row r="57" spans="1:19" ht="15.75">
      <c r="A57">
        <v>56</v>
      </c>
      <c r="B57" s="4" t="s">
        <v>242</v>
      </c>
      <c r="C57" s="4" t="s">
        <v>31</v>
      </c>
      <c r="D57" s="12" t="s">
        <v>243</v>
      </c>
      <c r="E57" s="4" t="s">
        <v>603</v>
      </c>
      <c r="F57" s="4" t="str">
        <f t="shared" si="0"/>
        <v>Viên</v>
      </c>
      <c r="G57" s="12" t="s">
        <v>343</v>
      </c>
      <c r="H57" s="11">
        <v>268000</v>
      </c>
      <c r="I57" s="11">
        <v>265000</v>
      </c>
      <c r="J57" s="4">
        <v>3</v>
      </c>
      <c r="K57" s="11">
        <v>9000</v>
      </c>
      <c r="L57" s="11">
        <v>270000</v>
      </c>
      <c r="M57" s="4" t="s">
        <v>448</v>
      </c>
      <c r="N57" s="32" t="s">
        <v>486</v>
      </c>
      <c r="O57" s="13">
        <v>46241</v>
      </c>
      <c r="P57" s="30">
        <f t="shared" si="1"/>
        <v>795000</v>
      </c>
      <c r="Q57" s="9" t="str">
        <f t="shared" si="2"/>
        <v>2028-07-23</v>
      </c>
      <c r="R57" t="str">
        <f t="shared" si="3"/>
        <v>INSERT INTO `nhathuoc_bsphong`.`dm_thuoc` (`ma_thuoc`, `ten_thuoc`, `hoat_chat`, `don_vi_chan`, `he_so`, `don_vi_le`, `nhom_thuoc`, `gia_nhap`, `gia_ban`) VALUES ('56', 'Telfast 180mg H/30V', 'Fexofenadin 180mg', 'Hộp', '1', ' Viên ', '  Kháng Histamin ', '9000', '9000');</v>
      </c>
      <c r="S57" t="str">
        <f t="shared" ref="S57:S58" si="13">"INSERT INTO `nhathuoc_bsphong`.`tbl_nk_ct` (`ma_phieu_nhap`, `ma_thuoc`, `ten_thuoc`, `lsx`, `don_vi_le`, `so_luong`, `don_gia`, `thanh_tien`, `hsd`) VALUES ('NK001', '" &amp; A57 &amp; "', '', '" &amp; M57 &amp; "', 'donvi', '"&amp; J57 &amp;"', '0', '0', '"&amp; Q57 &amp;"');"</f>
        <v>INSERT INTO `nhathuoc_bsphong`.`tbl_nk_ct` (`ma_phieu_nhap`, `ma_thuoc`, `ten_thuoc`, `lsx`, `don_vi_le`, `so_luong`, `don_gia`, `thanh_tien`, `hsd`) VALUES ('NK001', '56', '', 'FVH1603', 'donvi', '3', '0', '0', '2028-07-23');</v>
      </c>
    </row>
    <row r="58" spans="1:19" s="2" customFormat="1" ht="15.75">
      <c r="A58">
        <v>57</v>
      </c>
      <c r="B58" s="4" t="s">
        <v>271</v>
      </c>
      <c r="C58" s="4" t="s">
        <v>57</v>
      </c>
      <c r="D58" s="12" t="s">
        <v>409</v>
      </c>
      <c r="E58" s="4" t="s">
        <v>603</v>
      </c>
      <c r="F58" s="4" t="str">
        <f t="shared" si="0"/>
        <v>Viên</v>
      </c>
      <c r="G58" s="12" t="s">
        <v>335</v>
      </c>
      <c r="H58" s="11">
        <v>12000</v>
      </c>
      <c r="I58" s="11">
        <v>11000</v>
      </c>
      <c r="J58" s="4">
        <v>5</v>
      </c>
      <c r="K58" s="11">
        <v>13000</v>
      </c>
      <c r="L58" s="11">
        <v>13000</v>
      </c>
      <c r="M58" s="4">
        <v>111125</v>
      </c>
      <c r="N58" s="32" t="s">
        <v>487</v>
      </c>
      <c r="O58" s="4" t="s">
        <v>592</v>
      </c>
      <c r="P58" s="30">
        <f t="shared" si="1"/>
        <v>55000</v>
      </c>
      <c r="Q58" s="9" t="str">
        <f t="shared" si="2"/>
        <v>2028-11-15</v>
      </c>
      <c r="R58" t="str">
        <f t="shared" si="3"/>
        <v>INSERT INTO `nhathuoc_bsphong`.`dm_thuoc` (`ma_thuoc`, `ten_thuoc`, `hoat_chat`, `don_vi_chan`, `he_so`, `don_vi_le`, `nhom_thuoc`, `gia_nhap`, `gia_ban`) VALUES ('57', 'Fluconazole Stella 150mg H/1v', 'Fluconazole 150 mg', 'Hộp', '1', ' Viên ', '  Kháng nấm ', '13000', '13000');</v>
      </c>
      <c r="S58" t="str">
        <f t="shared" si="13"/>
        <v>INSERT INTO `nhathuoc_bsphong`.`tbl_nk_ct` (`ma_phieu_nhap`, `ma_thuoc`, `ten_thuoc`, `lsx`, `don_vi_le`, `so_luong`, `don_gia`, `thanh_tien`, `hsd`) VALUES ('NK001', '57', '', '111125', 'donvi', '5', '0', '0', '2028-11-15');</v>
      </c>
    </row>
    <row r="59" spans="1:19" ht="15.75">
      <c r="A59">
        <v>58</v>
      </c>
      <c r="B59" s="4" t="s">
        <v>271</v>
      </c>
      <c r="C59" s="4" t="s">
        <v>83</v>
      </c>
      <c r="D59" s="12" t="s">
        <v>182</v>
      </c>
      <c r="E59" s="4" t="s">
        <v>603</v>
      </c>
      <c r="F59" s="4" t="str">
        <f t="shared" si="0"/>
        <v>Viên</v>
      </c>
      <c r="G59" s="12"/>
      <c r="H59" s="11"/>
      <c r="I59" s="11"/>
      <c r="J59" s="4">
        <v>1</v>
      </c>
      <c r="K59">
        <v>0</v>
      </c>
      <c r="L59" s="11"/>
      <c r="M59" s="4"/>
      <c r="N59" s="32"/>
      <c r="O59" s="4"/>
      <c r="P59" s="30">
        <f t="shared" si="1"/>
        <v>0</v>
      </c>
      <c r="Q59" s="9" t="e">
        <f t="shared" si="2"/>
        <v>#VALUE!</v>
      </c>
      <c r="R59" t="str">
        <f t="shared" si="3"/>
        <v>INSERT INTO `nhathuoc_bsphong`.`dm_thuoc` (`ma_thuoc`, `ten_thuoc`, `hoat_chat`, `don_vi_chan`, `he_so`, `don_vi_le`, `nhom_thuoc`, `gia_nhap`, `gia_ban`) VALUES ('58', 'Ketoconazol 200 H/100v', 'Ketokonazol 200mg', 'Hộp', '1', ' Viên ', '  Kháng nấm ', '0', '0');</v>
      </c>
      <c r="S59" t="e">
        <f t="shared" si="5"/>
        <v>#VALUE!</v>
      </c>
    </row>
    <row r="60" spans="1:19" ht="15.75">
      <c r="A60">
        <v>59</v>
      </c>
      <c r="B60" s="4" t="s">
        <v>20</v>
      </c>
      <c r="C60" s="4" t="s">
        <v>19</v>
      </c>
      <c r="D60" s="4" t="s">
        <v>21</v>
      </c>
      <c r="E60" s="4" t="s">
        <v>603</v>
      </c>
      <c r="F60" s="4" t="str">
        <f t="shared" si="0"/>
        <v/>
      </c>
      <c r="G60" s="4" t="s">
        <v>348</v>
      </c>
      <c r="H60" s="11">
        <v>300000</v>
      </c>
      <c r="I60" s="11">
        <v>290000</v>
      </c>
      <c r="J60" s="4">
        <v>3</v>
      </c>
      <c r="K60" s="11">
        <v>21500</v>
      </c>
      <c r="L60" s="11">
        <v>301000</v>
      </c>
      <c r="M60" s="4" t="s">
        <v>449</v>
      </c>
      <c r="N60" s="32">
        <v>46399</v>
      </c>
      <c r="O60" s="13">
        <v>46241</v>
      </c>
      <c r="P60" s="30">
        <f t="shared" si="1"/>
        <v>870000</v>
      </c>
      <c r="Q60" s="9" t="str">
        <f t="shared" si="2"/>
        <v>2027-01-12</v>
      </c>
      <c r="R60" t="str">
        <f t="shared" si="3"/>
        <v>INSERT INTO `nhathuoc_bsphong`.`dm_thuoc` (`ma_thuoc`, `ten_thuoc`, `hoat_chat`, `don_vi_chan`, `he_so`, `don_vi_le`, `nhom_thuoc`, `gia_nhap`, `gia_ban`) VALUES ('59', 'Augmentin 1g H/14V GSK', 'Amoxicillin 875mg , Acid Clavulanic125mg', 'Hộp', '1', '  ', '  Kháng sinh ', '21500', '21500');</v>
      </c>
      <c r="S60" t="str">
        <f t="shared" ref="S60:S62" si="14">"INSERT INTO `nhathuoc_bsphong`.`tbl_nk_ct` (`ma_phieu_nhap`, `ma_thuoc`, `ten_thuoc`, `lsx`, `don_vi_le`, `so_luong`, `don_gia`, `thanh_tien`, `hsd`) VALUES ('NK001', '" &amp; A60 &amp; "', '', '" &amp; M60 &amp; "', 'donvi', '"&amp; J60 &amp;"', '0', '0', '"&amp; Q60 &amp;"');"</f>
        <v>INSERT INTO `nhathuoc_bsphong`.`tbl_nk_ct` (`ma_phieu_nhap`, `ma_thuoc`, `ten_thuoc`, `lsx`, `don_vi_le`, `so_luong`, `don_gia`, `thanh_tien`, `hsd`) VALUES ('NK001', '59', '', 'VH2K', 'donvi', '3', '0', '0', '2027-01-12');</v>
      </c>
    </row>
    <row r="61" spans="1:19" ht="15.75">
      <c r="A61">
        <v>60</v>
      </c>
      <c r="B61" s="4" t="s">
        <v>20</v>
      </c>
      <c r="C61" s="4" t="s">
        <v>19</v>
      </c>
      <c r="D61" s="4" t="s">
        <v>410</v>
      </c>
      <c r="E61" s="4" t="s">
        <v>603</v>
      </c>
      <c r="F61" s="4" t="str">
        <f t="shared" si="0"/>
        <v>Viên</v>
      </c>
      <c r="G61" s="4" t="s">
        <v>361</v>
      </c>
      <c r="H61" s="11">
        <v>600000</v>
      </c>
      <c r="I61" s="11">
        <v>550000</v>
      </c>
      <c r="J61" s="4">
        <v>1</v>
      </c>
      <c r="K61" s="11">
        <v>6000</v>
      </c>
      <c r="L61" s="11">
        <v>600000</v>
      </c>
      <c r="M61" s="4" t="s">
        <v>450</v>
      </c>
      <c r="N61" s="32" t="s">
        <v>488</v>
      </c>
      <c r="O61" s="4"/>
      <c r="P61" s="30">
        <f t="shared" si="1"/>
        <v>550000</v>
      </c>
      <c r="Q61" s="9" t="str">
        <f t="shared" si="2"/>
        <v>2027-11-30</v>
      </c>
      <c r="R61" t="str">
        <f t="shared" si="3"/>
        <v>INSERT INTO `nhathuoc_bsphong`.`dm_thuoc` (`ma_thuoc`, `ten_thuoc`, `hoat_chat`, `don_vi_chan`, `he_so`, `don_vi_le`, `nhom_thuoc`, `gia_nhap`, `gia_ban`) VALUES ('60', 'Curam 1000mg H/80v', 'Amoxicillin 875mg , Acid Clavulanic125mg', 'Hộp', '1', ' Viên ', '  Kháng sinh ', '6000', '6000');</v>
      </c>
      <c r="S61" t="str">
        <f t="shared" si="14"/>
        <v>INSERT INTO `nhathuoc_bsphong`.`tbl_nk_ct` (`ma_phieu_nhap`, `ma_thuoc`, `ten_thuoc`, `lsx`, `don_vi_le`, `so_luong`, `don_gia`, `thanh_tien`, `hsd`) VALUES ('NK001', '60', '', 'PX5729', 'donvi', '1', '0', '0', '2027-11-30');</v>
      </c>
    </row>
    <row r="62" spans="1:19" ht="15.75">
      <c r="A62">
        <v>61</v>
      </c>
      <c r="B62" s="4" t="s">
        <v>20</v>
      </c>
      <c r="C62" s="4" t="s">
        <v>46</v>
      </c>
      <c r="D62" s="12" t="s">
        <v>353</v>
      </c>
      <c r="E62" s="4" t="s">
        <v>603</v>
      </c>
      <c r="F62" s="4" t="str">
        <f t="shared" si="0"/>
        <v>Viên</v>
      </c>
      <c r="G62" s="12" t="s">
        <v>352</v>
      </c>
      <c r="H62" s="11"/>
      <c r="I62" s="11">
        <v>171735</v>
      </c>
      <c r="J62" s="4">
        <v>2</v>
      </c>
      <c r="K62" s="11">
        <v>31000</v>
      </c>
      <c r="L62" s="11">
        <v>186000</v>
      </c>
      <c r="M62" s="4">
        <v>13548794</v>
      </c>
      <c r="N62" s="32">
        <v>46759</v>
      </c>
      <c r="O62" s="13">
        <v>46241</v>
      </c>
      <c r="P62" s="30">
        <f t="shared" si="1"/>
        <v>343470</v>
      </c>
      <c r="Q62" s="9" t="str">
        <f t="shared" si="2"/>
        <v>2028-01-07</v>
      </c>
      <c r="R62" t="str">
        <f t="shared" si="3"/>
        <v>INSERT INTO `nhathuoc_bsphong`.`dm_thuoc` (`ma_thuoc`, `ten_thuoc`, `hoat_chat`, `don_vi_chan`, `he_so`, `don_vi_le`, `nhom_thuoc`, `gia_nhap`, `gia_ban`) VALUES ('61', 'Polzycyna H/3v', 'Azithromycin 500mg', 'Hộp', '1', ' Viên ', '  Kháng sinh ', '31000', '31000');</v>
      </c>
      <c r="S62" t="str">
        <f t="shared" si="14"/>
        <v>INSERT INTO `nhathuoc_bsphong`.`tbl_nk_ct` (`ma_phieu_nhap`, `ma_thuoc`, `ten_thuoc`, `lsx`, `don_vi_le`, `so_luong`, `don_gia`, `thanh_tien`, `hsd`) VALUES ('NK001', '61', '', '13548794', 'donvi', '2', '0', '0', '2028-01-07');</v>
      </c>
    </row>
    <row r="63" spans="1:19" ht="15.75">
      <c r="A63">
        <v>62</v>
      </c>
      <c r="B63" s="4" t="s">
        <v>20</v>
      </c>
      <c r="C63" s="4" t="s">
        <v>46</v>
      </c>
      <c r="D63" s="12" t="s">
        <v>258</v>
      </c>
      <c r="E63" s="4" t="s">
        <v>603</v>
      </c>
      <c r="F63" s="4" t="str">
        <f t="shared" si="0"/>
        <v>Viên</v>
      </c>
      <c r="G63" s="12"/>
      <c r="H63" s="11"/>
      <c r="I63" s="11"/>
      <c r="J63" s="4"/>
      <c r="K63">
        <v>0</v>
      </c>
      <c r="L63" s="11"/>
      <c r="M63" s="4"/>
      <c r="N63" s="32"/>
      <c r="O63" s="4"/>
      <c r="P63" s="30">
        <f t="shared" si="1"/>
        <v>0</v>
      </c>
      <c r="Q63" s="9" t="e">
        <f t="shared" si="2"/>
        <v>#VALUE!</v>
      </c>
      <c r="R63" t="str">
        <f t="shared" si="3"/>
        <v>INSERT INTO `nhathuoc_bsphong`.`dm_thuoc` (`ma_thuoc`, `ten_thuoc`, `hoat_chat`, `don_vi_chan`, `he_so`, `don_vi_le`, `nhom_thuoc`, `gia_nhap`, `gia_ban`) VALUES ('62', 'Zitromax 500mg H/3V', 'Azithromycin 500mg', 'Hộp', '1', ' Viên ', '  Kháng sinh ', '0', '0');</v>
      </c>
      <c r="S63" t="e">
        <f t="shared" si="5"/>
        <v>#VALUE!</v>
      </c>
    </row>
    <row r="64" spans="1:19" ht="15.75">
      <c r="A64">
        <v>63</v>
      </c>
      <c r="B64" s="4" t="s">
        <v>20</v>
      </c>
      <c r="C64" s="4" t="s">
        <v>79</v>
      </c>
      <c r="D64" s="12" t="s">
        <v>285</v>
      </c>
      <c r="E64" s="4" t="s">
        <v>603</v>
      </c>
      <c r="F64" s="4" t="str">
        <f t="shared" si="0"/>
        <v>Viên</v>
      </c>
      <c r="G64" s="12" t="s">
        <v>361</v>
      </c>
      <c r="H64" s="11">
        <v>230000</v>
      </c>
      <c r="I64" s="11">
        <v>230000</v>
      </c>
      <c r="J64" s="4">
        <v>3</v>
      </c>
      <c r="K64" s="11">
        <v>23200</v>
      </c>
      <c r="L64" s="11">
        <v>232000</v>
      </c>
      <c r="M64" s="4" t="s">
        <v>451</v>
      </c>
      <c r="N64" s="32">
        <v>46847</v>
      </c>
      <c r="O64" s="13">
        <v>46241</v>
      </c>
      <c r="P64" s="30">
        <f t="shared" si="1"/>
        <v>690000</v>
      </c>
      <c r="Q64" s="9" t="str">
        <f t="shared" si="2"/>
        <v>2028-04-04</v>
      </c>
      <c r="R64" t="str">
        <f t="shared" si="3"/>
        <v>INSERT INTO `nhathuoc_bsphong`.`dm_thuoc` (`ma_thuoc`, `ten_thuoc`, `hoat_chat`, `don_vi_chan`, `he_so`, `don_vi_le`, `nhom_thuoc`, `gia_nhap`, `gia_ban`) VALUES ('63', 'Zinnat tablets 500mg Sandoz H/10V', 'Cefuroxim 500mg', 'Hộp', '1', ' Viên ', '  Kháng sinh ', '23200', '23200');</v>
      </c>
      <c r="S64" t="str">
        <f t="shared" ref="S64:S67" si="15">"INSERT INTO `nhathuoc_bsphong`.`tbl_nk_ct` (`ma_phieu_nhap`, `ma_thuoc`, `ten_thuoc`, `lsx`, `don_vi_le`, `so_luong`, `don_gia`, `thanh_tien`, `hsd`) VALUES ('NK001', '" &amp; A64 &amp; "', '', '" &amp; M64 &amp; "', 'donvi', '"&amp; J64 &amp;"', '0', '0', '"&amp; Q64 &amp;"');"</f>
        <v>INSERT INTO `nhathuoc_bsphong`.`tbl_nk_ct` (`ma_phieu_nhap`, `ma_thuoc`, `ten_thuoc`, `lsx`, `don_vi_le`, `so_luong`, `don_gia`, `thanh_tien`, `hsd`) VALUES ('NK001', '63', '', 'GP9U', 'donvi', '3', '0', '0', '2028-04-04');</v>
      </c>
    </row>
    <row r="65" spans="1:19" ht="15.75">
      <c r="A65">
        <v>64</v>
      </c>
      <c r="B65" s="4" t="s">
        <v>20</v>
      </c>
      <c r="C65" s="4" t="s">
        <v>76</v>
      </c>
      <c r="D65" s="12" t="s">
        <v>283</v>
      </c>
      <c r="E65" s="4" t="s">
        <v>603</v>
      </c>
      <c r="F65" s="4" t="str">
        <f t="shared" si="0"/>
        <v>Viên</v>
      </c>
      <c r="G65" s="12" t="s">
        <v>344</v>
      </c>
      <c r="H65" s="11">
        <v>161000</v>
      </c>
      <c r="I65" s="22">
        <v>155000</v>
      </c>
      <c r="J65" s="7">
        <v>3</v>
      </c>
      <c r="K65" s="11">
        <v>16100</v>
      </c>
      <c r="L65" s="11">
        <v>161000</v>
      </c>
      <c r="M65" s="7" t="s">
        <v>452</v>
      </c>
      <c r="N65" s="34">
        <v>47794</v>
      </c>
      <c r="O65" s="13">
        <v>46241</v>
      </c>
      <c r="P65" s="30">
        <f t="shared" si="1"/>
        <v>465000</v>
      </c>
      <c r="Q65" s="9" t="str">
        <f t="shared" si="2"/>
        <v>2030-11-07</v>
      </c>
      <c r="R65" t="str">
        <f t="shared" si="3"/>
        <v>INSERT INTO `nhathuoc_bsphong`.`dm_thuoc` (`ma_thuoc`, `ten_thuoc`, `hoat_chat`, `don_vi_chan`, `he_so`, `don_vi_le`, `nhom_thuoc`, `gia_nhap`, `gia_ban`) VALUES ('64', 'Ciprobay 500mg Bayer H/10V', 'Ciprofloxacin 500mg', 'Hộp', '1', ' Viên ', '  Kháng sinh ', '16100', '16100');</v>
      </c>
      <c r="S65" t="str">
        <f t="shared" si="15"/>
        <v>INSERT INTO `nhathuoc_bsphong`.`tbl_nk_ct` (`ma_phieu_nhap`, `ma_thuoc`, `ten_thuoc`, `lsx`, `don_vi_le`, `so_luong`, `don_gia`, `thanh_tien`, `hsd`) VALUES ('NK001', '64', '', 'ITA6A5J', 'donvi', '3', '0', '0', '2030-11-07');</v>
      </c>
    </row>
    <row r="66" spans="1:19" ht="15.75">
      <c r="A66">
        <v>65</v>
      </c>
      <c r="B66" s="4" t="s">
        <v>20</v>
      </c>
      <c r="C66" s="4" t="s">
        <v>76</v>
      </c>
      <c r="D66" s="12" t="s">
        <v>371</v>
      </c>
      <c r="E66" s="4" t="s">
        <v>603</v>
      </c>
      <c r="F66" s="4" t="str">
        <f t="shared" si="0"/>
        <v>Viên</v>
      </c>
      <c r="G66" s="12" t="s">
        <v>372</v>
      </c>
      <c r="H66" s="11">
        <v>30000</v>
      </c>
      <c r="I66" s="11">
        <v>22000</v>
      </c>
      <c r="J66" s="4">
        <v>3</v>
      </c>
      <c r="K66" s="11">
        <v>3000</v>
      </c>
      <c r="L66" s="11">
        <v>30000</v>
      </c>
      <c r="M66" s="8" t="s">
        <v>453</v>
      </c>
      <c r="N66" s="32">
        <v>47366</v>
      </c>
      <c r="O66" s="13">
        <v>46241</v>
      </c>
      <c r="P66" s="30">
        <f t="shared" si="1"/>
        <v>66000</v>
      </c>
      <c r="Q66" s="9" t="str">
        <f t="shared" si="2"/>
        <v>2029-09-05</v>
      </c>
      <c r="R66" t="str">
        <f t="shared" si="3"/>
        <v>INSERT INTO `nhathuoc_bsphong`.`dm_thuoc` (`ma_thuoc`, `ten_thuoc`, `hoat_chat`, `don_vi_chan`, `he_so`, `don_vi_le`, `nhom_thuoc`, `gia_nhap`, `gia_ban`) VALUES ('65', 'Tamisynt 500mg H/10V', 'Ciprofloxacin 500mg', 'Hộp', '1', ' Viên ', '  Kháng sinh ', '3000', '3000');</v>
      </c>
      <c r="S66" t="str">
        <f t="shared" si="15"/>
        <v>INSERT INTO `nhathuoc_bsphong`.`tbl_nk_ct` (`ma_phieu_nhap`, `ma_thuoc`, `ten_thuoc`, `lsx`, `don_vi_le`, `so_luong`, `don_gia`, `thanh_tien`, `hsd`) VALUES ('NK001', '65', '', 'A09106', 'donvi', '3', '0', '0', '2029-09-05');</v>
      </c>
    </row>
    <row r="67" spans="1:19" ht="15.75">
      <c r="A67">
        <v>66</v>
      </c>
      <c r="B67" s="4" t="s">
        <v>20</v>
      </c>
      <c r="C67" s="4" t="s">
        <v>32</v>
      </c>
      <c r="D67" s="12" t="s">
        <v>411</v>
      </c>
      <c r="E67" s="4" t="s">
        <v>603</v>
      </c>
      <c r="F67" s="4" t="str">
        <f t="shared" ref="F67:F130" si="16">IF(RIGHT(D67,1)="v","Viên","")</f>
        <v>Viên</v>
      </c>
      <c r="G67" s="12" t="s">
        <v>372</v>
      </c>
      <c r="H67" s="11">
        <v>90000</v>
      </c>
      <c r="I67" s="11">
        <v>87000</v>
      </c>
      <c r="J67" s="4">
        <v>3</v>
      </c>
      <c r="K67" s="11">
        <v>9000</v>
      </c>
      <c r="L67" s="11">
        <v>90000</v>
      </c>
      <c r="M67" s="4" t="s">
        <v>454</v>
      </c>
      <c r="N67" s="32">
        <v>46390</v>
      </c>
      <c r="O67" s="4" t="s">
        <v>592</v>
      </c>
      <c r="P67" s="30">
        <f t="shared" ref="P67:P130" si="17">I67*J67</f>
        <v>261000</v>
      </c>
      <c r="Q67" s="9" t="str">
        <f t="shared" ref="Q67:Q130" si="18">IF(ISNUMBER(N67),TEXT(N67,"yyyy-mm-dd"),TEXT(DATE(RIGHT(N67,4),MID(N67,FIND("/",N67)+1,FIND("/",N67,FIND("/",N67)+1)-FIND("/",N67)-1),LEFT(N67,FIND("/",N67)-1)),"yyyy-mm-dd"))</f>
        <v>2027-01-03</v>
      </c>
      <c r="R67" t="str">
        <f t="shared" ref="R67:R130" si="19">"INSERT INTO `nhathuoc_bsphong`.`dm_thuoc` (`ma_thuoc`, `ten_thuoc`, `hoat_chat`, `don_vi_chan`, `he_so`, `don_vi_le`, `nhom_thuoc`, `gia_nhap`, `gia_ban`) VALUES ('" &amp; A67 &amp; "', '" &amp; D67 &amp; "', '" &amp; C67 &amp; "', '" &amp; E67 &amp; "', '1', ' " &amp; F67 &amp; " ', '  " &amp; B67 &amp; " ', '" &amp; K67 &amp; "', '" &amp; K67 &amp; "');"</f>
        <v>INSERT INTO `nhathuoc_bsphong`.`dm_thuoc` (`ma_thuoc`, `ten_thuoc`, `hoat_chat`, `don_vi_chan`, `he_so`, `don_vi_le`, `nhom_thuoc`, `gia_nhap`, `gia_ban`) VALUES ('66', 'Medoxasol 500 H/10v', 'Levofloxacin 500mg', 'Hộp', '1', ' Viên ', '  Kháng sinh ', '9000', '9000');</v>
      </c>
      <c r="S67" t="str">
        <f t="shared" si="15"/>
        <v>INSERT INTO `nhathuoc_bsphong`.`tbl_nk_ct` (`ma_phieu_nhap`, `ma_thuoc`, `ten_thuoc`, `lsx`, `don_vi_le`, `so_luong`, `don_gia`, `thanh_tien`, `hsd`) VALUES ('NK001', '66', '', 'E9D124', 'donvi', '3', '0', '0', '2027-01-03');</v>
      </c>
    </row>
    <row r="68" spans="1:19" ht="15.75">
      <c r="A68">
        <v>67</v>
      </c>
      <c r="B68" s="4" t="s">
        <v>20</v>
      </c>
      <c r="C68" s="4" t="s">
        <v>32</v>
      </c>
      <c r="D68" s="12" t="s">
        <v>244</v>
      </c>
      <c r="E68" s="4" t="s">
        <v>603</v>
      </c>
      <c r="F68" s="4" t="str">
        <f t="shared" si="16"/>
        <v>Viên</v>
      </c>
      <c r="G68" s="12"/>
      <c r="H68" s="11"/>
      <c r="I68" s="11"/>
      <c r="J68" s="4"/>
      <c r="K68">
        <v>0</v>
      </c>
      <c r="L68" s="11"/>
      <c r="M68" s="4"/>
      <c r="N68" s="32"/>
      <c r="O68" s="4"/>
      <c r="P68" s="30">
        <f t="shared" si="17"/>
        <v>0</v>
      </c>
      <c r="Q68" s="9" t="e">
        <f t="shared" si="18"/>
        <v>#VALUE!</v>
      </c>
      <c r="R68" t="str">
        <f t="shared" si="19"/>
        <v>INSERT INTO `nhathuoc_bsphong`.`dm_thuoc` (`ma_thuoc`, `ten_thuoc`, `hoat_chat`, `don_vi_chan`, `he_so`, `don_vi_le`, `nhom_thuoc`, `gia_nhap`, `gia_ban`) VALUES ('67', 'Tavanic 500mg H/5V', 'Levofloxacin 500mg', 'Hộp', '1', ' Viên ', '  Kháng sinh ', '0', '0');</v>
      </c>
      <c r="S68" t="e">
        <f t="shared" ref="S67:S130" si="20">"INSERT INTO tbl_nk_ct (`ma_phieu_nhap`, `ma_thuoc`, `ten_thuoc`, `lsx`, `don_vi`, `so_luong`, `don_gia`, `hsd`) VALUES ('NK001', '" &amp; A68 &amp; "', '" &amp; D68 &amp; "','"&amp; M68 &amp;"', '"&amp; F68 &amp;"', '"&amp; J68 &amp;"', '" &amp; K68 &amp; "', '" &amp; Q68 &amp; "');"</f>
        <v>#VALUE!</v>
      </c>
    </row>
    <row r="69" spans="1:19" ht="15.75">
      <c r="A69">
        <v>68</v>
      </c>
      <c r="B69" s="4" t="s">
        <v>20</v>
      </c>
      <c r="C69" s="4" t="s">
        <v>89</v>
      </c>
      <c r="D69" s="12" t="s">
        <v>186</v>
      </c>
      <c r="E69" s="4" t="s">
        <v>603</v>
      </c>
      <c r="F69" s="4" t="str">
        <f t="shared" si="16"/>
        <v>Viên</v>
      </c>
      <c r="G69" s="12"/>
      <c r="H69" s="11"/>
      <c r="I69" s="11"/>
      <c r="J69" s="4"/>
      <c r="K69">
        <v>0</v>
      </c>
      <c r="L69" s="11"/>
      <c r="M69" s="4"/>
      <c r="N69" s="32"/>
      <c r="O69" s="4"/>
      <c r="P69" s="30">
        <f t="shared" si="17"/>
        <v>0</v>
      </c>
      <c r="Q69" s="9" t="e">
        <f t="shared" si="18"/>
        <v>#VALUE!</v>
      </c>
      <c r="R69" t="str">
        <f t="shared" si="19"/>
        <v>INSERT INTO `nhathuoc_bsphong`.`dm_thuoc` (`ma_thuoc`, `ten_thuoc`, `hoat_chat`, `don_vi_chan`, `he_so`, `don_vi_le`, `nhom_thuoc`, `gia_nhap`, `gia_ban`) VALUES ('68', 'Lsp-Linezolid H/30v', 'Linezolid 600mg', 'Hộp', '1', ' Viên ', '  Kháng sinh ', '0', '0');</v>
      </c>
      <c r="S69" t="e">
        <f t="shared" si="20"/>
        <v>#VALUE!</v>
      </c>
    </row>
    <row r="70" spans="1:19" ht="15.75">
      <c r="A70">
        <v>69</v>
      </c>
      <c r="B70" s="4" t="s">
        <v>20</v>
      </c>
      <c r="C70" s="4" t="s">
        <v>89</v>
      </c>
      <c r="D70" s="12" t="s">
        <v>290</v>
      </c>
      <c r="E70" s="4" t="s">
        <v>603</v>
      </c>
      <c r="F70" s="4" t="str">
        <f t="shared" si="16"/>
        <v>Viên</v>
      </c>
      <c r="G70" s="12"/>
      <c r="H70" s="11"/>
      <c r="I70" s="11"/>
      <c r="J70" s="4"/>
      <c r="K70">
        <v>0</v>
      </c>
      <c r="L70" s="11"/>
      <c r="M70" s="4"/>
      <c r="N70" s="32"/>
      <c r="O70" s="4"/>
      <c r="P70" s="30">
        <f t="shared" si="17"/>
        <v>0</v>
      </c>
      <c r="Q70" s="9" t="e">
        <f t="shared" si="18"/>
        <v>#VALUE!</v>
      </c>
      <c r="R70" t="str">
        <f t="shared" si="19"/>
        <v>INSERT INTO `nhathuoc_bsphong`.`dm_thuoc` (`ma_thuoc`, `ten_thuoc`, `hoat_chat`, `don_vi_chan`, `he_so`, `don_vi_le`, `nhom_thuoc`, `gia_nhap`, `gia_ban`) VALUES ('69', 'SaViLifen 600 H/30V', 'Linezolid 600mg', 'Hộp', '1', ' Viên ', '  Kháng sinh ', '0', '0');</v>
      </c>
      <c r="S70" t="e">
        <f t="shared" si="20"/>
        <v>#VALUE!</v>
      </c>
    </row>
    <row r="71" spans="1:19" ht="15.75">
      <c r="A71">
        <v>70</v>
      </c>
      <c r="B71" s="4" t="s">
        <v>20</v>
      </c>
      <c r="C71" s="4" t="s">
        <v>292</v>
      </c>
      <c r="D71" s="12" t="s">
        <v>294</v>
      </c>
      <c r="E71" s="4" t="s">
        <v>603</v>
      </c>
      <c r="F71" s="4" t="str">
        <f t="shared" si="16"/>
        <v>Viên</v>
      </c>
      <c r="G71" s="12"/>
      <c r="H71" s="11"/>
      <c r="I71" s="11"/>
      <c r="J71" s="4"/>
      <c r="K71">
        <v>0</v>
      </c>
      <c r="L71" s="11"/>
      <c r="M71" s="4"/>
      <c r="N71" s="32"/>
      <c r="O71" s="4"/>
      <c r="P71" s="30">
        <f t="shared" si="17"/>
        <v>0</v>
      </c>
      <c r="Q71" s="9" t="e">
        <f t="shared" si="18"/>
        <v>#VALUE!</v>
      </c>
      <c r="R71" t="str">
        <f t="shared" si="19"/>
        <v>INSERT INTO `nhathuoc_bsphong`.`dm_thuoc` (`ma_thuoc`, `ten_thuoc`, `hoat_chat`, `don_vi_chan`, `he_so`, `don_vi_le`, `nhom_thuoc`, `gia_nhap`, `gia_ban`) VALUES ('70', 'Metronidazol 500mg Vacopharm H/100V', 'Metronidazole 500mg', 'Hộp', '1', ' Viên ', '  Kháng sinh ', '0', '0');</v>
      </c>
      <c r="S71" t="e">
        <f t="shared" si="20"/>
        <v>#VALUE!</v>
      </c>
    </row>
    <row r="72" spans="1:19" ht="15.75">
      <c r="A72">
        <v>71</v>
      </c>
      <c r="B72" s="4" t="s">
        <v>20</v>
      </c>
      <c r="C72" s="4" t="s">
        <v>292</v>
      </c>
      <c r="D72" s="12" t="s">
        <v>293</v>
      </c>
      <c r="E72" s="4" t="s">
        <v>603</v>
      </c>
      <c r="F72" s="4" t="str">
        <f t="shared" si="16"/>
        <v>Viên</v>
      </c>
      <c r="G72" s="12"/>
      <c r="H72" s="11"/>
      <c r="I72" s="11"/>
      <c r="J72" s="4"/>
      <c r="K72">
        <v>0</v>
      </c>
      <c r="L72" s="11"/>
      <c r="M72" s="4"/>
      <c r="N72" s="32"/>
      <c r="O72" s="4"/>
      <c r="P72" s="30">
        <f t="shared" si="17"/>
        <v>0</v>
      </c>
      <c r="Q72" s="9" t="e">
        <f t="shared" si="18"/>
        <v>#VALUE!</v>
      </c>
      <c r="R72" t="str">
        <f t="shared" si="19"/>
        <v>INSERT INTO `nhathuoc_bsphong`.`dm_thuoc` (`ma_thuoc`, `ten_thuoc`, `hoat_chat`, `don_vi_chan`, `he_so`, `don_vi_le`, `nhom_thuoc`, `gia_nhap`, `gia_ban`) VALUES ('71', 'Metronidazole Stada 500mg H/20V', 'Metronidazole 500mg', 'Hộp', '1', ' Viên ', '  Kháng sinh ', '0', '0');</v>
      </c>
      <c r="S72" t="e">
        <f t="shared" si="20"/>
        <v>#VALUE!</v>
      </c>
    </row>
    <row r="73" spans="1:19" ht="15.75">
      <c r="A73">
        <v>72</v>
      </c>
      <c r="B73" s="4" t="s">
        <v>267</v>
      </c>
      <c r="C73" s="4" t="s">
        <v>369</v>
      </c>
      <c r="D73" s="12" t="s">
        <v>367</v>
      </c>
      <c r="E73" s="4" t="s">
        <v>603</v>
      </c>
      <c r="F73" s="4" t="str">
        <f t="shared" si="16"/>
        <v/>
      </c>
      <c r="G73" s="12" t="s">
        <v>368</v>
      </c>
      <c r="H73" s="11">
        <v>22000</v>
      </c>
      <c r="I73" s="11">
        <v>18000</v>
      </c>
      <c r="J73" s="4">
        <v>2</v>
      </c>
      <c r="K73" s="11">
        <v>1200</v>
      </c>
      <c r="L73" s="11">
        <v>24000</v>
      </c>
      <c r="M73" s="4">
        <v>180326</v>
      </c>
      <c r="N73" s="32" t="s">
        <v>489</v>
      </c>
      <c r="O73" s="13">
        <v>46241</v>
      </c>
      <c r="P73" s="30">
        <f t="shared" si="17"/>
        <v>36000</v>
      </c>
      <c r="Q73" s="9" t="str">
        <f t="shared" si="18"/>
        <v>2028-03-23</v>
      </c>
      <c r="R73" t="str">
        <f t="shared" si="19"/>
        <v>INSERT INTO `nhathuoc_bsphong`.`dm_thuoc` (`ma_thuoc`, `ten_thuoc`, `hoat_chat`, `don_vi_chan`, `he_so`, `don_vi_le`, `nhom_thuoc`, `gia_nhap`, `gia_ban`) VALUES ('72', 'Alpha DHG', 'chymotrypsin 4200IU', 'Hộp', '1', '  ', '  Kháng viêm ', '1200', '1200');</v>
      </c>
      <c r="S73" t="str">
        <f t="shared" ref="S73:S76" si="21">"INSERT INTO `nhathuoc_bsphong`.`tbl_nk_ct` (`ma_phieu_nhap`, `ma_thuoc`, `ten_thuoc`, `lsx`, `don_vi_le`, `so_luong`, `don_gia`, `thanh_tien`, `hsd`) VALUES ('NK001', '" &amp; A73 &amp; "', '', '" &amp; M73 &amp; "', 'donvi', '"&amp; J73 &amp;"', '0', '0', '"&amp; Q73 &amp;"');"</f>
        <v>INSERT INTO `nhathuoc_bsphong`.`tbl_nk_ct` (`ma_phieu_nhap`, `ma_thuoc`, `ten_thuoc`, `lsx`, `don_vi_le`, `so_luong`, `don_gia`, `thanh_tien`, `hsd`) VALUES ('NK001', '72', '', '180326', 'donvi', '2', '0', '0', '2028-03-23');</v>
      </c>
    </row>
    <row r="74" spans="1:19" s="1" customFormat="1" ht="15.75">
      <c r="A74">
        <v>73</v>
      </c>
      <c r="B74" s="4" t="s">
        <v>267</v>
      </c>
      <c r="C74" s="4" t="s">
        <v>95</v>
      </c>
      <c r="D74" s="12" t="s">
        <v>412</v>
      </c>
      <c r="E74" s="4" t="s">
        <v>603</v>
      </c>
      <c r="F74" s="4" t="str">
        <f t="shared" si="16"/>
        <v>Viên</v>
      </c>
      <c r="G74" s="12" t="s">
        <v>354</v>
      </c>
      <c r="H74" s="11">
        <v>182500</v>
      </c>
      <c r="I74" s="11">
        <v>195200</v>
      </c>
      <c r="J74" s="4">
        <v>2</v>
      </c>
      <c r="K74" s="11">
        <v>9800</v>
      </c>
      <c r="L74" s="11">
        <v>196000</v>
      </c>
      <c r="M74" s="4" t="s">
        <v>455</v>
      </c>
      <c r="N74" s="32">
        <v>46489</v>
      </c>
      <c r="O74" s="4" t="s">
        <v>592</v>
      </c>
      <c r="P74" s="30">
        <f t="shared" si="17"/>
        <v>390400</v>
      </c>
      <c r="Q74" s="9" t="str">
        <f t="shared" si="18"/>
        <v>2027-04-12</v>
      </c>
      <c r="R74" t="str">
        <f t="shared" si="19"/>
        <v>INSERT INTO `nhathuoc_bsphong`.`dm_thuoc` (`ma_thuoc`, `ten_thuoc`, `hoat_chat`, `don_vi_chan`, `he_so`, `don_vi_le`, `nhom_thuoc`, `gia_nhap`, `gia_ban`) VALUES ('73', 'Mobic 7.5 H/20v', 'Meloxicam 7.5mg', 'Hộp', '1', ' Viên ', '  Kháng viêm ', '9800', '9800');</v>
      </c>
      <c r="S74" t="str">
        <f t="shared" si="21"/>
        <v>INSERT INTO `nhathuoc_bsphong`.`tbl_nk_ct` (`ma_phieu_nhap`, `ma_thuoc`, `ten_thuoc`, `lsx`, `don_vi_le`, `so_luong`, `don_gia`, `thanh_tien`, `hsd`) VALUES ('NK001', '73', '', 'G62318', 'donvi', '2', '0', '0', '2027-04-12');</v>
      </c>
    </row>
    <row r="75" spans="1:19" s="1" customFormat="1" ht="15.75">
      <c r="A75">
        <v>74</v>
      </c>
      <c r="B75" s="4" t="s">
        <v>267</v>
      </c>
      <c r="C75" s="4" t="s">
        <v>93</v>
      </c>
      <c r="D75" s="12" t="s">
        <v>189</v>
      </c>
      <c r="E75" s="4" t="s">
        <v>603</v>
      </c>
      <c r="F75" s="4" t="str">
        <f t="shared" si="16"/>
        <v>Viên</v>
      </c>
      <c r="G75" s="12" t="s">
        <v>358</v>
      </c>
      <c r="H75" s="11">
        <v>120000</v>
      </c>
      <c r="I75" s="11">
        <v>120000</v>
      </c>
      <c r="J75" s="4">
        <v>3</v>
      </c>
      <c r="K75" s="11">
        <v>4200</v>
      </c>
      <c r="L75" s="11">
        <v>126000</v>
      </c>
      <c r="M75" s="4" t="s">
        <v>456</v>
      </c>
      <c r="N75" s="32">
        <v>46483</v>
      </c>
      <c r="O75" s="13">
        <v>46241</v>
      </c>
      <c r="P75" s="30">
        <f t="shared" si="17"/>
        <v>360000</v>
      </c>
      <c r="Q75" s="9" t="str">
        <f t="shared" si="18"/>
        <v>2027-04-06</v>
      </c>
      <c r="R75" t="str">
        <f t="shared" si="19"/>
        <v>INSERT INTO `nhathuoc_bsphong`.`dm_thuoc` (`ma_thuoc`, `ten_thuoc`, `hoat_chat`, `don_vi_chan`, `he_so`, `don_vi_le`, `nhom_thuoc`, `gia_nhap`, `gia_ban`) VALUES ('74', 'Medrol 16 H/30v', 'Methylprednisolone 16mg', 'Hộp', '1', ' Viên ', '  Kháng viêm ', '4200', '4200');</v>
      </c>
      <c r="S75" t="str">
        <f t="shared" si="21"/>
        <v>INSERT INTO `nhathuoc_bsphong`.`tbl_nk_ct` (`ma_phieu_nhap`, `ma_thuoc`, `ten_thuoc`, `lsx`, `don_vi_le`, `so_luong`, `don_gia`, `thanh_tien`, `hsd`) VALUES ('NK001', '74', '', 'LL0681', 'donvi', '3', '0', '0', '2027-04-06');</v>
      </c>
    </row>
    <row r="76" spans="1:19" s="1" customFormat="1" ht="15.75">
      <c r="A76">
        <v>75</v>
      </c>
      <c r="B76" s="4" t="s">
        <v>267</v>
      </c>
      <c r="C76" s="4" t="s">
        <v>94</v>
      </c>
      <c r="D76" s="12" t="s">
        <v>190</v>
      </c>
      <c r="E76" s="4" t="s">
        <v>603</v>
      </c>
      <c r="F76" s="4" t="str">
        <f t="shared" si="16"/>
        <v>Viên</v>
      </c>
      <c r="G76" s="12" t="s">
        <v>358</v>
      </c>
      <c r="H76" s="11">
        <v>38000</v>
      </c>
      <c r="I76" s="11">
        <v>35000</v>
      </c>
      <c r="J76" s="4">
        <v>3</v>
      </c>
      <c r="K76" s="11">
        <v>1500</v>
      </c>
      <c r="L76" s="11">
        <v>45000</v>
      </c>
      <c r="M76" s="4" t="s">
        <v>457</v>
      </c>
      <c r="N76" s="32" t="s">
        <v>490</v>
      </c>
      <c r="O76" s="13">
        <v>46241</v>
      </c>
      <c r="P76" s="30">
        <f t="shared" si="17"/>
        <v>105000</v>
      </c>
      <c r="Q76" s="9" t="str">
        <f t="shared" si="18"/>
        <v>2027-11-20</v>
      </c>
      <c r="R76" t="str">
        <f t="shared" si="19"/>
        <v>INSERT INTO `nhathuoc_bsphong`.`dm_thuoc` (`ma_thuoc`, `ten_thuoc`, `hoat_chat`, `don_vi_chan`, `he_so`, `don_vi_le`, `nhom_thuoc`, `gia_nhap`, `gia_ban`) VALUES ('75', 'Medrol 4 H/30v', 'Methyprednisolon 4mg', 'Hộp', '1', ' Viên ', '  Kháng viêm ', '1500', '1500');</v>
      </c>
      <c r="S76" t="str">
        <f t="shared" si="21"/>
        <v>INSERT INTO `nhathuoc_bsphong`.`tbl_nk_ct` (`ma_phieu_nhap`, `ma_thuoc`, `ten_thuoc`, `lsx`, `don_vi_le`, `so_luong`, `don_gia`, `thanh_tien`, `hsd`) VALUES ('NK001', '75', '', 'MC3872', 'donvi', '3', '0', '0', '2027-11-20');</v>
      </c>
    </row>
    <row r="77" spans="1:19" s="1" customFormat="1" ht="15.75">
      <c r="A77">
        <v>76</v>
      </c>
      <c r="B77" s="4" t="s">
        <v>267</v>
      </c>
      <c r="C77" s="4" t="s">
        <v>116</v>
      </c>
      <c r="D77" s="12" t="s">
        <v>206</v>
      </c>
      <c r="E77" s="4" t="s">
        <v>603</v>
      </c>
      <c r="F77" s="4" t="str">
        <f t="shared" si="16"/>
        <v>Viên</v>
      </c>
      <c r="G77" s="12"/>
      <c r="H77" s="11"/>
      <c r="I77" s="11"/>
      <c r="J77" s="4"/>
      <c r="K77">
        <v>0</v>
      </c>
      <c r="L77" s="11"/>
      <c r="M77" s="4"/>
      <c r="N77" s="32"/>
      <c r="O77" s="4"/>
      <c r="P77" s="30">
        <f t="shared" si="17"/>
        <v>0</v>
      </c>
      <c r="Q77" s="9" t="e">
        <f t="shared" si="18"/>
        <v>#VALUE!</v>
      </c>
      <c r="R77" t="str">
        <f t="shared" si="19"/>
        <v>INSERT INTO `nhathuoc_bsphong`.`dm_thuoc` (`ma_thuoc`, `ten_thuoc`, `hoat_chat`, `don_vi_chan`, `he_so`, `don_vi_le`, `nhom_thuoc`, `gia_nhap`, `gia_ban`) VALUES ('76', 'Solupred 20 C/20v', 'Prednisolon 20', 'Hộp', '1', ' Viên ', '  Kháng viêm ', '0', '0');</v>
      </c>
      <c r="S77" t="e">
        <f t="shared" si="20"/>
        <v>#VALUE!</v>
      </c>
    </row>
    <row r="78" spans="1:19" ht="15.75">
      <c r="A78">
        <v>77</v>
      </c>
      <c r="B78" s="4" t="s">
        <v>267</v>
      </c>
      <c r="C78" s="4" t="s">
        <v>47</v>
      </c>
      <c r="D78" s="12" t="s">
        <v>158</v>
      </c>
      <c r="E78" s="4" t="s">
        <v>603</v>
      </c>
      <c r="F78" s="4" t="str">
        <f t="shared" si="16"/>
        <v>Viên</v>
      </c>
      <c r="G78" s="12"/>
      <c r="H78" s="11"/>
      <c r="I78" s="11"/>
      <c r="J78" s="4"/>
      <c r="K78">
        <v>0</v>
      </c>
      <c r="L78" s="11"/>
      <c r="M78" s="4"/>
      <c r="N78" s="32"/>
      <c r="O78" s="4"/>
      <c r="P78" s="30">
        <f t="shared" si="17"/>
        <v>0</v>
      </c>
      <c r="Q78" s="9" t="e">
        <f t="shared" si="18"/>
        <v>#VALUE!</v>
      </c>
      <c r="R78" t="str">
        <f t="shared" si="19"/>
        <v>INSERT INTO `nhathuoc_bsphong`.`dm_thuoc` (`ma_thuoc`, `ten_thuoc`, `hoat_chat`, `don_vi_chan`, `he_so`, `don_vi_le`, `nhom_thuoc`, `gia_nhap`, `gia_ban`) VALUES ('77', 'Cadipredni 5 C/500v', 'Prednisolon 5mg', 'Hộp', '1', ' Viên ', '  Kháng viêm ', '0', '0');</v>
      </c>
      <c r="S78" t="e">
        <f t="shared" si="20"/>
        <v>#VALUE!</v>
      </c>
    </row>
    <row r="79" spans="1:19" ht="15.75">
      <c r="A79">
        <v>78</v>
      </c>
      <c r="B79" s="4" t="s">
        <v>5</v>
      </c>
      <c r="C79" s="4" t="s">
        <v>7</v>
      </c>
      <c r="D79" s="4" t="s">
        <v>9</v>
      </c>
      <c r="E79" s="4" t="s">
        <v>603</v>
      </c>
      <c r="F79" s="4" t="str">
        <f t="shared" si="16"/>
        <v>Viên</v>
      </c>
      <c r="G79" s="4"/>
      <c r="H79" s="11"/>
      <c r="I79" s="11"/>
      <c r="J79" s="4"/>
      <c r="K79">
        <v>0</v>
      </c>
      <c r="L79" s="11"/>
      <c r="M79" s="4"/>
      <c r="N79" s="32"/>
      <c r="O79" s="4"/>
      <c r="P79" s="30">
        <f t="shared" si="17"/>
        <v>0</v>
      </c>
      <c r="Q79" s="9" t="e">
        <f t="shared" si="18"/>
        <v>#VALUE!</v>
      </c>
      <c r="R79" t="str">
        <f t="shared" si="19"/>
        <v>INSERT INTO `nhathuoc_bsphong`.`dm_thuoc` (`ma_thuoc`, `ten_thuoc`, `hoat_chat`, `don_vi_chan`, `he_so`, `don_vi_le`, `nhom_thuoc`, `gia_nhap`, `gia_ban`) VALUES ('78', 'Acyclovir 400 H/35v', 'Acyclovir 400mg', 'Hộp', '1', ' Viên ', '  Kháng virus ', '0', '0');</v>
      </c>
      <c r="S79" t="e">
        <f t="shared" si="20"/>
        <v>#VALUE!</v>
      </c>
    </row>
    <row r="80" spans="1:19" ht="18" customHeight="1">
      <c r="A80">
        <v>79</v>
      </c>
      <c r="B80" s="4" t="s">
        <v>5</v>
      </c>
      <c r="C80" s="4" t="s">
        <v>8</v>
      </c>
      <c r="D80" s="4" t="s">
        <v>351</v>
      </c>
      <c r="E80" s="4" t="s">
        <v>603</v>
      </c>
      <c r="F80" s="4" t="str">
        <f t="shared" si="16"/>
        <v>Viên</v>
      </c>
      <c r="G80" s="4" t="s">
        <v>335</v>
      </c>
      <c r="H80" s="11">
        <v>195000</v>
      </c>
      <c r="I80" s="11">
        <v>195000</v>
      </c>
      <c r="J80" s="9">
        <v>1</v>
      </c>
      <c r="K80" s="11">
        <v>4000</v>
      </c>
      <c r="L80" s="11">
        <v>200000</v>
      </c>
      <c r="M80" s="4">
        <v>241125</v>
      </c>
      <c r="N80" s="32">
        <v>47188</v>
      </c>
      <c r="O80" s="4"/>
      <c r="P80" s="30">
        <f t="shared" si="17"/>
        <v>195000</v>
      </c>
      <c r="Q80" s="9" t="str">
        <f t="shared" si="18"/>
        <v>2029-03-11</v>
      </c>
      <c r="R80" t="str">
        <f t="shared" si="19"/>
        <v>INSERT INTO `nhathuoc_bsphong`.`dm_thuoc` (`ma_thuoc`, `ten_thuoc`, `hoat_chat`, `don_vi_chan`, `he_so`, `don_vi_le`, `nhom_thuoc`, `gia_nhap`, `gia_ban`) VALUES ('79', 'Acyclovir 800 H/50v', 'Acyclovir 800mg', 'Hộp', '1', ' Viên ', '  Kháng virus ', '4000', '4000');</v>
      </c>
      <c r="S80" t="str">
        <f t="shared" ref="S80:S84" si="22">"INSERT INTO `nhathuoc_bsphong`.`tbl_nk_ct` (`ma_phieu_nhap`, `ma_thuoc`, `ten_thuoc`, `lsx`, `don_vi_le`, `so_luong`, `don_gia`, `thanh_tien`, `hsd`) VALUES ('NK001', '" &amp; A80 &amp; "', '', '" &amp; M80 &amp; "', 'donvi', '"&amp; J80 &amp;"', '0', '0', '"&amp; Q80 &amp;"');"</f>
        <v>INSERT INTO `nhathuoc_bsphong`.`tbl_nk_ct` (`ma_phieu_nhap`, `ma_thuoc`, `ten_thuoc`, `lsx`, `don_vi_le`, `so_luong`, `don_gia`, `thanh_tien`, `hsd`) VALUES ('NK001', '79', '', '241125', 'donvi', '1', '0', '0', '2029-03-11');</v>
      </c>
    </row>
    <row r="81" spans="1:19" ht="15.75">
      <c r="A81">
        <v>80</v>
      </c>
      <c r="B81" s="4" t="s">
        <v>276</v>
      </c>
      <c r="C81" s="4" t="s">
        <v>383</v>
      </c>
      <c r="D81" s="12" t="s">
        <v>385</v>
      </c>
      <c r="E81" s="4" t="s">
        <v>603</v>
      </c>
      <c r="F81" s="4" t="str">
        <f t="shared" si="16"/>
        <v>Viên</v>
      </c>
      <c r="G81" s="12" t="s">
        <v>384</v>
      </c>
      <c r="H81" s="21">
        <v>90000</v>
      </c>
      <c r="I81" s="21">
        <v>90000</v>
      </c>
      <c r="J81" s="6">
        <v>1</v>
      </c>
      <c r="K81" s="11">
        <v>1500</v>
      </c>
      <c r="L81" s="11">
        <v>150000</v>
      </c>
      <c r="M81" s="6" t="s">
        <v>458</v>
      </c>
      <c r="N81" s="33" t="s">
        <v>491</v>
      </c>
      <c r="O81" s="13">
        <v>46272</v>
      </c>
      <c r="P81" s="30">
        <f t="shared" si="17"/>
        <v>90000</v>
      </c>
      <c r="Q81" s="9" t="str">
        <f t="shared" si="18"/>
        <v>2028-09-22</v>
      </c>
      <c r="R81" t="str">
        <f t="shared" si="19"/>
        <v>INSERT INTO `nhathuoc_bsphong`.`dm_thuoc` (`ma_thuoc`, `ten_thuoc`, `hoat_chat`, `don_vi_chan`, `he_so`, `don_vi_le`, `nhom_thuoc`, `gia_nhap`, `gia_ban`) VALUES ('80', 'Kali clorid 500mg H/100v', 'Kali clorid 500mg', 'Hộp', '1', ' Viên ', '  Khoáng chất ', '1500', '1500');</v>
      </c>
      <c r="S81" t="str">
        <f t="shared" si="22"/>
        <v>INSERT INTO `nhathuoc_bsphong`.`tbl_nk_ct` (`ma_phieu_nhap`, `ma_thuoc`, `ten_thuoc`, `lsx`, `don_vi_le`, `so_luong`, `don_gia`, `thanh_tien`, `hsd`) VALUES ('NK001', '80', '', '25100B', 'donvi', '1', '0', '0', '2028-09-22');</v>
      </c>
    </row>
    <row r="82" spans="1:19" ht="15.75">
      <c r="A82">
        <v>81</v>
      </c>
      <c r="B82" s="4" t="s">
        <v>276</v>
      </c>
      <c r="C82" s="4" t="s">
        <v>67</v>
      </c>
      <c r="D82" s="12" t="s">
        <v>510</v>
      </c>
      <c r="E82" s="4" t="s">
        <v>603</v>
      </c>
      <c r="F82" s="4" t="str">
        <f t="shared" si="16"/>
        <v>Viên</v>
      </c>
      <c r="G82" s="12" t="s">
        <v>342</v>
      </c>
      <c r="H82" s="21">
        <v>37000</v>
      </c>
      <c r="I82" s="21">
        <v>17000</v>
      </c>
      <c r="J82" s="6">
        <v>2</v>
      </c>
      <c r="K82" s="11">
        <v>650</v>
      </c>
      <c r="L82" s="11">
        <v>39000</v>
      </c>
      <c r="M82" s="28" t="s">
        <v>558</v>
      </c>
      <c r="N82" s="33" t="s">
        <v>559</v>
      </c>
      <c r="O82" s="4" t="s">
        <v>590</v>
      </c>
      <c r="P82" s="30">
        <f t="shared" si="17"/>
        <v>34000</v>
      </c>
      <c r="Q82" s="9" t="str">
        <f t="shared" si="18"/>
        <v>2029-01-26</v>
      </c>
      <c r="R82" t="str">
        <f t="shared" si="19"/>
        <v>INSERT INTO `nhathuoc_bsphong`.`dm_thuoc` (`ma_thuoc`, `ten_thuoc`, `hoat_chat`, `don_vi_chan`, `he_so`, `don_vi_le`, `nhom_thuoc`, `gia_nhap`, `gia_ban`) VALUES ('81', 'ZinC H/60v', 'Kẽm 10mg (dưới dạng kẽm gluconat 70mg)', 'Hộp', '1', ' Viên ', '  Khoáng chất ', '650', '650');</v>
      </c>
      <c r="S82" t="str">
        <f t="shared" si="22"/>
        <v>INSERT INTO `nhathuoc_bsphong`.`tbl_nk_ct` (`ma_phieu_nhap`, `ma_thuoc`, `ten_thuoc`, `lsx`, `don_vi_le`, `so_luong`, `don_gia`, `thanh_tien`, `hsd`) VALUES ('NK001', '81', '', '010126', 'donvi', '2', '0', '0', '2029-01-26');</v>
      </c>
    </row>
    <row r="83" spans="1:19" ht="15.75">
      <c r="A83">
        <v>82</v>
      </c>
      <c r="B83" s="4" t="s">
        <v>259</v>
      </c>
      <c r="C83" s="4" t="s">
        <v>40</v>
      </c>
      <c r="D83" s="12" t="s">
        <v>511</v>
      </c>
      <c r="E83" s="4" t="s">
        <v>603</v>
      </c>
      <c r="F83" s="4" t="str">
        <f t="shared" si="16"/>
        <v>Viên</v>
      </c>
      <c r="G83" s="12" t="s">
        <v>512</v>
      </c>
      <c r="H83" s="21">
        <v>40000</v>
      </c>
      <c r="I83" s="21">
        <v>22000</v>
      </c>
      <c r="J83" s="6">
        <v>3</v>
      </c>
      <c r="K83" s="11">
        <v>4000</v>
      </c>
      <c r="L83" s="11">
        <v>40000</v>
      </c>
      <c r="M83" s="6" t="s">
        <v>560</v>
      </c>
      <c r="N83" s="33">
        <v>47767</v>
      </c>
      <c r="O83" s="4" t="s">
        <v>590</v>
      </c>
      <c r="P83" s="30">
        <f t="shared" si="17"/>
        <v>66000</v>
      </c>
      <c r="Q83" s="9" t="str">
        <f t="shared" si="18"/>
        <v>2030-10-11</v>
      </c>
      <c r="R83" t="str">
        <f t="shared" si="19"/>
        <v>INSERT INTO `nhathuoc_bsphong`.`dm_thuoc` (`ma_thuoc`, `ten_thuoc`, `hoat_chat`, `don_vi_chan`, `he_so`, `don_vi_le`, `nhom_thuoc`, `gia_nhap`, `gia_ban`) VALUES ('82', 'Alzental 400 H/10v', 'Albendazol 400mg', 'Hộp', '1', ' Viên ', '  Kí sinh trùng ', '4000', '4000');</v>
      </c>
      <c r="S83" t="str">
        <f t="shared" si="22"/>
        <v>INSERT INTO `nhathuoc_bsphong`.`tbl_nk_ct` (`ma_phieu_nhap`, `ma_thuoc`, `ten_thuoc`, `lsx`, `don_vi_le`, `so_luong`, `don_gia`, `thanh_tien`, `hsd`) VALUES ('NK001', '82', '', 'AZT5032', 'donvi', '3', '0', '0', '2030-10-11');</v>
      </c>
    </row>
    <row r="84" spans="1:19" ht="15.75">
      <c r="A84">
        <v>83</v>
      </c>
      <c r="B84" s="4" t="s">
        <v>259</v>
      </c>
      <c r="C84" s="4" t="s">
        <v>111</v>
      </c>
      <c r="D84" s="12" t="s">
        <v>513</v>
      </c>
      <c r="E84" s="4" t="s">
        <v>603</v>
      </c>
      <c r="F84" s="4" t="str">
        <f t="shared" si="16"/>
        <v>Viên</v>
      </c>
      <c r="G84" s="12" t="s">
        <v>514</v>
      </c>
      <c r="H84" s="11">
        <v>65000</v>
      </c>
      <c r="I84" s="21">
        <v>52000</v>
      </c>
      <c r="J84" s="6">
        <v>3</v>
      </c>
      <c r="K84" s="11">
        <f>L84/4</f>
        <v>16250</v>
      </c>
      <c r="L84" s="11">
        <v>65000</v>
      </c>
      <c r="M84" s="28" t="s">
        <v>561</v>
      </c>
      <c r="N84" s="33">
        <v>46977</v>
      </c>
      <c r="O84" s="4" t="s">
        <v>590</v>
      </c>
      <c r="P84" s="30">
        <f t="shared" si="17"/>
        <v>156000</v>
      </c>
      <c r="Q84" s="9" t="str">
        <f t="shared" si="18"/>
        <v>2028-08-12</v>
      </c>
      <c r="R84" t="str">
        <f t="shared" si="19"/>
        <v>INSERT INTO `nhathuoc_bsphong`.`dm_thuoc` (`ma_thuoc`, `ten_thuoc`, `hoat_chat`, `don_vi_chan`, `he_so`, `don_vi_le`, `nhom_thuoc`, `gia_nhap`, `gia_ban`) VALUES ('83', 'Ebarsun H/4v', 'Ivermectin 6mg', 'Hộp', '1', ' Viên ', '  Kí sinh trùng ', '16250', '16250');</v>
      </c>
      <c r="S84" t="str">
        <f t="shared" si="22"/>
        <v>INSERT INTO `nhathuoc_bsphong`.`tbl_nk_ct` (`ma_phieu_nhap`, `ma_thuoc`, `ten_thuoc`, `lsx`, `don_vi_le`, `so_luong`, `don_gia`, `thanh_tien`, `hsd`) VALUES ('NK001', '83', '', '0031225', 'donvi', '3', '0', '0', '2028-08-12');</v>
      </c>
    </row>
    <row r="85" spans="1:19" ht="15.75">
      <c r="A85">
        <v>84</v>
      </c>
      <c r="B85" s="4" t="s">
        <v>259</v>
      </c>
      <c r="C85" s="4" t="s">
        <v>54</v>
      </c>
      <c r="D85" s="12" t="s">
        <v>163</v>
      </c>
      <c r="E85" s="4" t="s">
        <v>603</v>
      </c>
      <c r="F85" s="4" t="str">
        <f t="shared" si="16"/>
        <v>Viên</v>
      </c>
      <c r="G85" s="12"/>
      <c r="H85" s="11"/>
      <c r="I85" s="11"/>
      <c r="J85" s="4"/>
      <c r="K85">
        <v>0</v>
      </c>
      <c r="L85" s="11"/>
      <c r="M85" s="4"/>
      <c r="N85" s="32"/>
      <c r="O85" s="4"/>
      <c r="P85" s="30">
        <f t="shared" si="17"/>
        <v>0</v>
      </c>
      <c r="Q85" s="9" t="e">
        <f t="shared" si="18"/>
        <v>#VALUE!</v>
      </c>
      <c r="R85" t="str">
        <f t="shared" si="19"/>
        <v>INSERT INTO `nhathuoc_bsphong`.`dm_thuoc` (`ma_thuoc`, `ten_thuoc`, `hoat_chat`, `don_vi_chan`, `he_so`, `don_vi_le`, `nhom_thuoc`, `gia_nhap`, `gia_ban`) VALUES ('84', 'Deworm 250 H/4v', 'Triclabendazole 250mg', 'Hộp', '1', ' Viên ', '  Kí sinh trùng ', '0', '0');</v>
      </c>
      <c r="S85" t="e">
        <f t="shared" si="20"/>
        <v>#VALUE!</v>
      </c>
    </row>
    <row r="86" spans="1:19" ht="15.75">
      <c r="A86">
        <v>85</v>
      </c>
      <c r="B86" s="6" t="s">
        <v>281</v>
      </c>
      <c r="C86" s="6" t="s">
        <v>131</v>
      </c>
      <c r="D86" s="6" t="s">
        <v>312</v>
      </c>
      <c r="E86" s="4" t="s">
        <v>603</v>
      </c>
      <c r="F86" s="4" t="str">
        <f t="shared" si="16"/>
        <v/>
      </c>
      <c r="G86" s="6"/>
      <c r="H86" s="11"/>
      <c r="I86" s="11"/>
      <c r="J86" s="4"/>
      <c r="K86">
        <v>0</v>
      </c>
      <c r="L86" s="11"/>
      <c r="M86" s="4"/>
      <c r="N86" s="32"/>
      <c r="O86" s="4"/>
      <c r="P86" s="30">
        <f t="shared" si="17"/>
        <v>0</v>
      </c>
      <c r="Q86" s="9" t="e">
        <f t="shared" si="18"/>
        <v>#VALUE!</v>
      </c>
      <c r="R86" t="str">
        <f t="shared" si="19"/>
        <v>INSERT INTO `nhathuoc_bsphong`.`dm_thuoc` (`ma_thuoc`, `ten_thuoc`, `hoat_chat`, `don_vi_chan`, `he_so`, `don_vi_le`, `nhom_thuoc`, `gia_nhap`, `gia_ban`) VALUES ('85', 'Tiêm Furosemid 20mg/2ml Vinphaco H/10A', 'Furosemid 20mg/2ml', 'Hộp', '1', '  ', '  Lợi tiểu ', '0', '0');</v>
      </c>
      <c r="S86" t="e">
        <f t="shared" si="20"/>
        <v>#VALUE!</v>
      </c>
    </row>
    <row r="87" spans="1:19" ht="15.75">
      <c r="A87">
        <v>86</v>
      </c>
      <c r="B87" s="6" t="s">
        <v>281</v>
      </c>
      <c r="C87" s="6" t="s">
        <v>131</v>
      </c>
      <c r="D87" s="6" t="s">
        <v>222</v>
      </c>
      <c r="E87" s="4" t="s">
        <v>603</v>
      </c>
      <c r="F87" s="4" t="str">
        <f t="shared" si="16"/>
        <v/>
      </c>
      <c r="G87" s="6"/>
      <c r="H87" s="11"/>
      <c r="I87" s="11"/>
      <c r="J87" s="4"/>
      <c r="K87">
        <v>0</v>
      </c>
      <c r="L87" s="11"/>
      <c r="M87" s="4"/>
      <c r="N87" s="32"/>
      <c r="O87" s="4"/>
      <c r="P87" s="30">
        <f t="shared" si="17"/>
        <v>0</v>
      </c>
      <c r="Q87" s="9" t="e">
        <f t="shared" si="18"/>
        <v>#VALUE!</v>
      </c>
      <c r="R87" t="str">
        <f t="shared" si="19"/>
        <v>INSERT INTO `nhathuoc_bsphong`.`dm_thuoc` (`ma_thuoc`, `ten_thuoc`, `hoat_chat`, `don_vi_chan`, `he_so`, `don_vi_le`, `nhom_thuoc`, `gia_nhap`, `gia_ban`) VALUES ('86', 'Tiêm Suopinchon H/10A', 'Furosemid 20mg/2ml', 'Hộp', '1', '  ', '  Lợi tiểu ', '0', '0');</v>
      </c>
      <c r="S87" t="e">
        <f t="shared" si="20"/>
        <v>#VALUE!</v>
      </c>
    </row>
    <row r="88" spans="1:19" ht="15.75">
      <c r="A88">
        <v>87</v>
      </c>
      <c r="B88" s="7" t="s">
        <v>281</v>
      </c>
      <c r="C88" s="7" t="s">
        <v>144</v>
      </c>
      <c r="D88" s="7" t="s">
        <v>515</v>
      </c>
      <c r="E88" s="4" t="s">
        <v>603</v>
      </c>
      <c r="F88" s="4" t="str">
        <f t="shared" si="16"/>
        <v>Viên</v>
      </c>
      <c r="G88" s="7" t="s">
        <v>342</v>
      </c>
      <c r="H88" s="11">
        <v>80000</v>
      </c>
      <c r="I88" s="11">
        <v>44000</v>
      </c>
      <c r="J88" s="4">
        <v>1</v>
      </c>
      <c r="K88" s="11">
        <v>320</v>
      </c>
      <c r="L88" s="11">
        <v>80000</v>
      </c>
      <c r="M88" s="4">
        <v>10226</v>
      </c>
      <c r="N88" s="32">
        <v>47122</v>
      </c>
      <c r="O88" s="4" t="s">
        <v>590</v>
      </c>
      <c r="P88" s="30">
        <f t="shared" si="17"/>
        <v>44000</v>
      </c>
      <c r="Q88" s="9" t="str">
        <f t="shared" si="18"/>
        <v>2029-01-04</v>
      </c>
      <c r="R88" t="str">
        <f t="shared" si="19"/>
        <v>INSERT INTO `nhathuoc_bsphong`.`dm_thuoc` (`ma_thuoc`, `ten_thuoc`, `hoat_chat`, `don_vi_chan`, `he_so`, `don_vi_le`, `nhom_thuoc`, `gia_nhap`, `gia_ban`) VALUES ('87', 'Agifuros 40 H/250v', 'Furosemide 40mg', 'Hộp', '1', ' Viên ', '  Lợi tiểu ', '320', '320');</v>
      </c>
      <c r="S88" t="str">
        <f>"INSERT INTO `nhathuoc_bsphong`.`tbl_nk_ct` (`ma_phieu_nhap`, `ma_thuoc`, `ten_thuoc`, `lsx`, `don_vi_le`, `so_luong`, `don_gia`, `thanh_tien`, `hsd`) VALUES ('NK001', '" &amp; A88 &amp; "', '', '" &amp; M88 &amp; "', 'donvi', '"&amp; J88 &amp;"', '0', '0', '"&amp; Q88 &amp;"');"</f>
        <v>INSERT INTO `nhathuoc_bsphong`.`tbl_nk_ct` (`ma_phieu_nhap`, `ma_thuoc`, `ten_thuoc`, `lsx`, `don_vi_le`, `so_luong`, `don_gia`, `thanh_tien`, `hsd`) VALUES ('NK001', '87', '', '10226', 'donvi', '1', '0', '0', '2029-01-04');</v>
      </c>
    </row>
    <row r="89" spans="1:19" ht="15.75">
      <c r="A89">
        <v>88</v>
      </c>
      <c r="B89" s="4" t="s">
        <v>281</v>
      </c>
      <c r="C89" s="4" t="s">
        <v>73</v>
      </c>
      <c r="D89" s="12" t="s">
        <v>175</v>
      </c>
      <c r="E89" s="4" t="s">
        <v>603</v>
      </c>
      <c r="F89" s="4" t="str">
        <f t="shared" si="16"/>
        <v>Viên</v>
      </c>
      <c r="G89" s="12"/>
      <c r="H89" s="11"/>
      <c r="I89" s="11"/>
      <c r="J89" s="4"/>
      <c r="K89">
        <v>0</v>
      </c>
      <c r="L89" s="11"/>
      <c r="M89" s="4"/>
      <c r="N89" s="32"/>
      <c r="O89" s="4"/>
      <c r="P89" s="30">
        <f t="shared" si="17"/>
        <v>0</v>
      </c>
      <c r="Q89" s="9" t="e">
        <f t="shared" si="18"/>
        <v>#VALUE!</v>
      </c>
      <c r="R89" t="str">
        <f t="shared" si="19"/>
        <v>INSERT INTO `nhathuoc_bsphong`.`dm_thuoc` (`ma_thuoc`, `ten_thuoc`, `hoat_chat`, `don_vi_chan`, `he_so`, `don_vi_le`, `nhom_thuoc`, `gia_nhap`, `gia_ban`) VALUES ('88', 'Franilax 50/20 H/30v', 'Spironolacton 50mg, Furosemid 20mg', 'Hộp', '1', ' Viên ', '  Lợi tiểu ', '0', '0');</v>
      </c>
      <c r="S89" t="e">
        <f t="shared" si="20"/>
        <v>#VALUE!</v>
      </c>
    </row>
    <row r="90" spans="1:19" ht="15.75">
      <c r="A90">
        <v>89</v>
      </c>
      <c r="B90" s="4" t="s">
        <v>281</v>
      </c>
      <c r="C90" s="4" t="s">
        <v>147</v>
      </c>
      <c r="D90" s="12" t="s">
        <v>516</v>
      </c>
      <c r="E90" s="4" t="s">
        <v>603</v>
      </c>
      <c r="F90" s="4" t="str">
        <f t="shared" si="16"/>
        <v>Viên</v>
      </c>
      <c r="G90" s="12" t="s">
        <v>428</v>
      </c>
      <c r="H90" s="11">
        <v>55000</v>
      </c>
      <c r="I90" s="11">
        <v>53000</v>
      </c>
      <c r="J90" s="4">
        <v>3</v>
      </c>
      <c r="K90" s="11">
        <v>1833</v>
      </c>
      <c r="L90" s="11">
        <v>55000</v>
      </c>
      <c r="M90" s="4">
        <v>2604908</v>
      </c>
      <c r="N90" s="32" t="s">
        <v>562</v>
      </c>
      <c r="O90" s="4" t="s">
        <v>590</v>
      </c>
      <c r="P90" s="30">
        <f t="shared" si="17"/>
        <v>159000</v>
      </c>
      <c r="Q90" s="9" t="str">
        <f t="shared" si="18"/>
        <v>2029-04-18</v>
      </c>
      <c r="R90" t="str">
        <f t="shared" si="19"/>
        <v>INSERT INTO `nhathuoc_bsphong`.`dm_thuoc` (`ma_thuoc`, `ten_thuoc`, `hoat_chat`, `don_vi_chan`, `he_so`, `don_vi_le`, `nhom_thuoc`, `gia_nhap`, `gia_ban`) VALUES ('89', 'Entacron 25 H/30v', 'Spironolactone 25mg', 'Hộp', '1', ' Viên ', '  Lợi tiểu ', '1833', '1833');</v>
      </c>
      <c r="S90" t="str">
        <f t="shared" ref="S90:S91" si="23">"INSERT INTO `nhathuoc_bsphong`.`tbl_nk_ct` (`ma_phieu_nhap`, `ma_thuoc`, `ten_thuoc`, `lsx`, `don_vi_le`, `so_luong`, `don_gia`, `thanh_tien`, `hsd`) VALUES ('NK001', '" &amp; A90 &amp; "', '', '" &amp; M90 &amp; "', 'donvi', '"&amp; J90 &amp;"', '0', '0', '"&amp; Q90 &amp;"');"</f>
        <v>INSERT INTO `nhathuoc_bsphong`.`tbl_nk_ct` (`ma_phieu_nhap`, `ma_thuoc`, `ten_thuoc`, `lsx`, `don_vi_le`, `so_luong`, `don_gia`, `thanh_tien`, `hsd`) VALUES ('NK001', '89', '', '2604908', 'donvi', '3', '0', '0', '2029-04-18');</v>
      </c>
    </row>
    <row r="91" spans="1:19" ht="17.100000000000001" customHeight="1">
      <c r="A91">
        <v>90</v>
      </c>
      <c r="B91" s="4" t="s">
        <v>249</v>
      </c>
      <c r="C91" s="4" t="s">
        <v>39</v>
      </c>
      <c r="D91" s="12" t="s">
        <v>389</v>
      </c>
      <c r="E91" s="4" t="s">
        <v>603</v>
      </c>
      <c r="F91" s="4" t="str">
        <f t="shared" si="16"/>
        <v>Viên</v>
      </c>
      <c r="G91" s="12" t="s">
        <v>390</v>
      </c>
      <c r="H91" s="11">
        <v>200000</v>
      </c>
      <c r="I91" s="11">
        <v>105000</v>
      </c>
      <c r="J91" s="4">
        <v>1</v>
      </c>
      <c r="K91" s="11">
        <v>2000</v>
      </c>
      <c r="L91" s="11">
        <v>200000</v>
      </c>
      <c r="M91" s="5" t="s">
        <v>459</v>
      </c>
      <c r="N91" s="32">
        <v>47455</v>
      </c>
      <c r="O91" s="13">
        <v>46272</v>
      </c>
      <c r="P91" s="30">
        <f t="shared" si="17"/>
        <v>105000</v>
      </c>
      <c r="Q91" s="9" t="str">
        <f t="shared" si="18"/>
        <v>2029-12-03</v>
      </c>
      <c r="R91" t="str">
        <f t="shared" si="19"/>
        <v>INSERT INTO `nhathuoc_bsphong`.`dm_thuoc` (`ma_thuoc`, `ten_thuoc`, `hoat_chat`, `don_vi_chan`, `he_so`, `don_vi_le`, `nhom_thuoc`, `gia_nhap`, `gia_ban`) VALUES ('90', 'AtorHASAN 20 Hasan H/100V', 'Atorvastatin 20mg', 'Hộp', '1', ' Viên ', '  Mỡ máu ', '2000', '2000');</v>
      </c>
      <c r="S91" t="str">
        <f t="shared" si="23"/>
        <v>INSERT INTO `nhathuoc_bsphong`.`tbl_nk_ct` (`ma_phieu_nhap`, `ma_thuoc`, `ten_thuoc`, `lsx`, `don_vi_le`, `so_luong`, `don_gia`, `thanh_tien`, `hsd`) VALUES ('NK001', '90', '', '00526', 'donvi', '1', '0', '0', '2029-12-03');</v>
      </c>
    </row>
    <row r="92" spans="1:19" ht="15.75">
      <c r="A92">
        <v>91</v>
      </c>
      <c r="B92" s="4" t="s">
        <v>249</v>
      </c>
      <c r="C92" s="4" t="s">
        <v>39</v>
      </c>
      <c r="D92" s="12" t="s">
        <v>394</v>
      </c>
      <c r="E92" s="4" t="s">
        <v>603</v>
      </c>
      <c r="F92" s="4" t="str">
        <f t="shared" si="16"/>
        <v>Viên</v>
      </c>
      <c r="G92" s="12"/>
      <c r="H92" s="11"/>
      <c r="I92" s="11"/>
      <c r="J92" s="4"/>
      <c r="K92">
        <v>0</v>
      </c>
      <c r="L92" s="11"/>
      <c r="M92" s="4"/>
      <c r="N92" s="32"/>
      <c r="O92" s="4"/>
      <c r="P92" s="30">
        <f t="shared" si="17"/>
        <v>0</v>
      </c>
      <c r="Q92" s="9" t="e">
        <f t="shared" si="18"/>
        <v>#VALUE!</v>
      </c>
      <c r="R92" t="str">
        <f t="shared" si="19"/>
        <v>INSERT INTO `nhathuoc_bsphong`.`dm_thuoc` (`ma_thuoc`, `ten_thuoc`, `hoat_chat`, `don_vi_chan`, `he_so`, `don_vi_le`, `nhom_thuoc`, `gia_nhap`, `gia_ban`) VALUES ('91', 'Lipitor 20mg H/30V', 'Atorvastatin 20mg', 'Hộp', '1', ' Viên ', '  Mỡ máu ', '0', '0');</v>
      </c>
      <c r="S92" t="e">
        <f t="shared" si="20"/>
        <v>#VALUE!</v>
      </c>
    </row>
    <row r="93" spans="1:19" ht="15.75">
      <c r="A93">
        <v>92</v>
      </c>
      <c r="B93" s="4" t="s">
        <v>249</v>
      </c>
      <c r="C93" s="4" t="s">
        <v>69</v>
      </c>
      <c r="D93" s="12" t="s">
        <v>278</v>
      </c>
      <c r="E93" s="4" t="s">
        <v>603</v>
      </c>
      <c r="F93" s="4" t="str">
        <f t="shared" si="16"/>
        <v>Viên</v>
      </c>
      <c r="G93" s="12" t="s">
        <v>333</v>
      </c>
      <c r="H93" s="11">
        <v>261000</v>
      </c>
      <c r="I93" s="11">
        <v>251000</v>
      </c>
      <c r="J93" s="4">
        <v>3</v>
      </c>
      <c r="K93" s="11">
        <v>8700</v>
      </c>
      <c r="L93" s="11">
        <v>261000</v>
      </c>
      <c r="M93" s="4">
        <v>38187</v>
      </c>
      <c r="N93" s="32">
        <v>46821</v>
      </c>
      <c r="O93" s="13">
        <v>46272</v>
      </c>
      <c r="P93" s="30">
        <f t="shared" si="17"/>
        <v>753000</v>
      </c>
      <c r="Q93" s="9" t="str">
        <f t="shared" si="18"/>
        <v>2028-03-09</v>
      </c>
      <c r="R93" t="str">
        <f t="shared" si="19"/>
        <v>INSERT INTO `nhathuoc_bsphong`.`dm_thuoc` (`ma_thuoc`, `ten_thuoc`, `hoat_chat`, `don_vi_chan`, `he_so`, `don_vi_le`, `nhom_thuoc`, `gia_nhap`, `gia_ban`) VALUES ('92', 'Lipanthyl 200 M/H30V', 'Fenofibrat 200mg', 'Hộp', '1', ' Viên ', '  Mỡ máu ', '8700', '8700');</v>
      </c>
      <c r="S93" t="str">
        <f>"INSERT INTO `nhathuoc_bsphong`.`tbl_nk_ct` (`ma_phieu_nhap`, `ma_thuoc`, `ten_thuoc`, `lsx`, `don_vi_le`, `so_luong`, `don_gia`, `thanh_tien`, `hsd`) VALUES ('NK001', '" &amp; A93 &amp; "', '', '" &amp; M93 &amp; "', 'donvi', '"&amp; J93 &amp;"', '0', '0', '"&amp; Q93 &amp;"');"</f>
        <v>INSERT INTO `nhathuoc_bsphong`.`tbl_nk_ct` (`ma_phieu_nhap`, `ma_thuoc`, `ten_thuoc`, `lsx`, `don_vi_le`, `so_luong`, `don_gia`, `thanh_tien`, `hsd`) VALUES ('NK001', '92', '', '38187', 'donvi', '3', '0', '0', '2028-03-09');</v>
      </c>
    </row>
    <row r="94" spans="1:19" ht="15.75">
      <c r="A94">
        <v>93</v>
      </c>
      <c r="B94" s="4" t="s">
        <v>249</v>
      </c>
      <c r="C94" s="4" t="s">
        <v>34</v>
      </c>
      <c r="D94" s="12" t="s">
        <v>250</v>
      </c>
      <c r="E94" s="4" t="s">
        <v>603</v>
      </c>
      <c r="F94" s="4" t="str">
        <f t="shared" si="16"/>
        <v>Viên</v>
      </c>
      <c r="G94" s="12"/>
      <c r="H94" s="11"/>
      <c r="I94" s="11"/>
      <c r="J94" s="4"/>
      <c r="K94">
        <v>0</v>
      </c>
      <c r="L94" s="11"/>
      <c r="M94" s="4"/>
      <c r="N94" s="32"/>
      <c r="O94" s="4"/>
      <c r="P94" s="30">
        <f t="shared" si="17"/>
        <v>0</v>
      </c>
      <c r="Q94" s="9" t="e">
        <f t="shared" si="18"/>
        <v>#VALUE!</v>
      </c>
      <c r="R94" t="str">
        <f t="shared" si="19"/>
        <v>INSERT INTO `nhathuoc_bsphong`.`dm_thuoc` (`ma_thuoc`, `ten_thuoc`, `hoat_chat`, `don_vi_chan`, `he_so`, `don_vi_le`, `nhom_thuoc`, `gia_nhap`, `gia_ban`) VALUES ('93', 'Apitor 10 H/30V', 'Rosuvastatin 10mg', 'Hộp', '1', ' Viên ', '  Mỡ máu ', '0', '0');</v>
      </c>
      <c r="S94" t="e">
        <f t="shared" si="20"/>
        <v>#VALUE!</v>
      </c>
    </row>
    <row r="95" spans="1:19" ht="15.75">
      <c r="A95">
        <v>94</v>
      </c>
      <c r="B95" s="4" t="s">
        <v>249</v>
      </c>
      <c r="C95" s="4" t="s">
        <v>35</v>
      </c>
      <c r="D95" s="12" t="s">
        <v>517</v>
      </c>
      <c r="E95" s="4" t="s">
        <v>603</v>
      </c>
      <c r="F95" s="4" t="str">
        <f t="shared" si="16"/>
        <v>Viên</v>
      </c>
      <c r="G95" s="12" t="s">
        <v>373</v>
      </c>
      <c r="H95" s="11">
        <v>226600</v>
      </c>
      <c r="I95" s="11">
        <v>100000</v>
      </c>
      <c r="J95" s="4">
        <v>3</v>
      </c>
      <c r="K95" s="11">
        <v>7553</v>
      </c>
      <c r="L95" s="11">
        <v>226600</v>
      </c>
      <c r="M95" s="4">
        <v>2605173</v>
      </c>
      <c r="N95" s="32" t="s">
        <v>563</v>
      </c>
      <c r="O95" s="4" t="s">
        <v>590</v>
      </c>
      <c r="P95" s="30">
        <f t="shared" si="17"/>
        <v>300000</v>
      </c>
      <c r="Q95" s="9" t="str">
        <f t="shared" si="18"/>
        <v>2029-05-14</v>
      </c>
      <c r="R95" t="str">
        <f t="shared" si="19"/>
        <v>INSERT INTO `nhathuoc_bsphong`.`dm_thuoc` (`ma_thuoc`, `ten_thuoc`, `hoat_chat`, `don_vi_chan`, `he_so`, `don_vi_le`, `nhom_thuoc`, `gia_nhap`, `gia_ban`) VALUES ('94', 'Sterolow 20 H/30v', 'Rosuvastatin 20mg', 'Hộp', '1', ' Viên ', '  Mỡ máu ', '7553', '7553');</v>
      </c>
      <c r="S95" t="str">
        <f t="shared" ref="S95:S96" si="24">"INSERT INTO `nhathuoc_bsphong`.`tbl_nk_ct` (`ma_phieu_nhap`, `ma_thuoc`, `ten_thuoc`, `lsx`, `don_vi_le`, `so_luong`, `don_gia`, `thanh_tien`, `hsd`) VALUES ('NK001', '" &amp; A95 &amp; "', '', '" &amp; M95 &amp; "', 'donvi', '"&amp; J95 &amp;"', '0', '0', '"&amp; Q95 &amp;"');"</f>
        <v>INSERT INTO `nhathuoc_bsphong`.`tbl_nk_ct` (`ma_phieu_nhap`, `ma_thuoc`, `ten_thuoc`, `lsx`, `don_vi_le`, `so_luong`, `don_gia`, `thanh_tien`, `hsd`) VALUES ('NK001', '94', '', '2605173', 'donvi', '3', '0', '0', '2029-05-14');</v>
      </c>
    </row>
    <row r="96" spans="1:19" ht="15.75">
      <c r="A96">
        <v>95</v>
      </c>
      <c r="B96" s="4" t="s">
        <v>313</v>
      </c>
      <c r="C96" s="4" t="s">
        <v>134</v>
      </c>
      <c r="D96" s="12" t="s">
        <v>225</v>
      </c>
      <c r="E96" s="4" t="s">
        <v>603</v>
      </c>
      <c r="F96" s="4" t="str">
        <f t="shared" si="16"/>
        <v/>
      </c>
      <c r="G96" s="12" t="s">
        <v>387</v>
      </c>
      <c r="H96" s="11">
        <v>43500</v>
      </c>
      <c r="I96" s="11">
        <v>43000</v>
      </c>
      <c r="J96" s="4">
        <v>3</v>
      </c>
      <c r="K96" s="11">
        <v>45000</v>
      </c>
      <c r="L96" s="11">
        <v>45000</v>
      </c>
      <c r="M96" s="4" t="s">
        <v>460</v>
      </c>
      <c r="N96" s="32">
        <v>46966</v>
      </c>
      <c r="O96" s="13">
        <v>46272</v>
      </c>
      <c r="P96" s="30">
        <f t="shared" si="17"/>
        <v>129000</v>
      </c>
      <c r="Q96" s="9" t="str">
        <f t="shared" si="18"/>
        <v>2028-08-01</v>
      </c>
      <c r="R96" t="str">
        <f t="shared" si="19"/>
        <v>INSERT INTO `nhathuoc_bsphong`.`dm_thuoc` (`ma_thuoc`, `ten_thuoc`, `hoat_chat`, `don_vi_chan`, `he_so`, `don_vi_le`, `nhom_thuoc`, `gia_nhap`, `gia_ban`) VALUES ('95', 'TOBREX NHỎ MẮT 5ML', 'Tobramycin  0.3%', 'Hộp', '1', '  ', '  Nhỏ mắt ', '45000', '45000');</v>
      </c>
      <c r="S96" t="str">
        <f t="shared" si="24"/>
        <v>INSERT INTO `nhathuoc_bsphong`.`tbl_nk_ct` (`ma_phieu_nhap`, `ma_thuoc`, `ten_thuoc`, `lsx`, `don_vi_le`, `so_luong`, `don_gia`, `thanh_tien`, `hsd`) VALUES ('NK001', '95', '', 'VUU07A', 'donvi', '3', '0', '0', '2028-08-01');</v>
      </c>
    </row>
    <row r="97" spans="1:19" ht="15.75">
      <c r="A97">
        <v>96</v>
      </c>
      <c r="B97" s="4" t="s">
        <v>298</v>
      </c>
      <c r="C97" s="4" t="s">
        <v>101</v>
      </c>
      <c r="D97" s="12" t="s">
        <v>195</v>
      </c>
      <c r="E97" s="4" t="s">
        <v>603</v>
      </c>
      <c r="F97" s="4" t="str">
        <f t="shared" si="16"/>
        <v/>
      </c>
      <c r="G97" s="12"/>
      <c r="H97" s="11"/>
      <c r="I97" s="11"/>
      <c r="J97" s="4"/>
      <c r="K97">
        <v>0</v>
      </c>
      <c r="L97" s="11"/>
      <c r="M97" s="4"/>
      <c r="N97" s="32"/>
      <c r="O97" s="4"/>
      <c r="P97" s="30">
        <f t="shared" si="17"/>
        <v>0</v>
      </c>
      <c r="Q97" s="9" t="e">
        <f t="shared" si="18"/>
        <v>#VALUE!</v>
      </c>
      <c r="R97" t="str">
        <f t="shared" si="19"/>
        <v>INSERT INTO `nhathuoc_bsphong`.`dm_thuoc` (`ma_thuoc`, `ten_thuoc`, `hoat_chat`, `don_vi_chan`, `he_so`, `don_vi_le`, `nhom_thuoc`, `gia_nhap`, `gia_ban`) VALUES ('96', 'Natri clorid 0.9% (nhỏ mắt, mũi)', 'Natri clorid 0.9%/10ml', 'Hộp', '1', '  ', '  Nhỏ mắt, mũi ', '0', '0');</v>
      </c>
      <c r="S97" t="e">
        <f t="shared" si="20"/>
        <v>#VALUE!</v>
      </c>
    </row>
    <row r="98" spans="1:19" ht="15.75">
      <c r="A98">
        <v>97</v>
      </c>
      <c r="B98" s="4" t="s">
        <v>413</v>
      </c>
      <c r="C98" s="4" t="s">
        <v>29</v>
      </c>
      <c r="D98" s="4" t="s">
        <v>245</v>
      </c>
      <c r="E98" s="4" t="s">
        <v>603</v>
      </c>
      <c r="F98" s="4" t="str">
        <f t="shared" si="16"/>
        <v>Viên</v>
      </c>
      <c r="G98" s="4" t="s">
        <v>327</v>
      </c>
      <c r="H98" s="11">
        <v>268500</v>
      </c>
      <c r="I98" s="11">
        <v>262000</v>
      </c>
      <c r="J98" s="4">
        <v>3</v>
      </c>
      <c r="K98" s="11">
        <v>4475</v>
      </c>
      <c r="L98" s="11">
        <v>268500</v>
      </c>
      <c r="M98" s="4">
        <v>6124043</v>
      </c>
      <c r="N98" s="32">
        <v>47124</v>
      </c>
      <c r="O98" s="13">
        <v>46272</v>
      </c>
      <c r="P98" s="30">
        <f t="shared" si="17"/>
        <v>786000</v>
      </c>
      <c r="Q98" s="9" t="str">
        <f t="shared" si="18"/>
        <v>2029-01-06</v>
      </c>
      <c r="R98" t="str">
        <f t="shared" si="19"/>
        <v>INSERT INTO `nhathuoc_bsphong`.`dm_thuoc` (`ma_thuoc`, `ten_thuoc`, `hoat_chat`, `don_vi_chan`, `he_so`, `don_vi_le`, `nhom_thuoc`, `gia_nhap`, `gia_ban`) VALUES ('97', 'Daflon 500mg H/60V', 'Diosmin 450mg + Hesperidin 50mg', 'Hộp', '1', ' Viên ', '  Suy van ', '4475', '4475');</v>
      </c>
      <c r="S98" t="str">
        <f t="shared" ref="S98:S99" si="25">"INSERT INTO `nhathuoc_bsphong`.`tbl_nk_ct` (`ma_phieu_nhap`, `ma_thuoc`, `ten_thuoc`, `lsx`, `don_vi_le`, `so_luong`, `don_gia`, `thanh_tien`, `hsd`) VALUES ('NK001', '" &amp; A98 &amp; "', '', '" &amp; M98 &amp; "', 'donvi', '"&amp; J98 &amp;"', '0', '0', '"&amp; Q98 &amp;"');"</f>
        <v>INSERT INTO `nhathuoc_bsphong`.`tbl_nk_ct` (`ma_phieu_nhap`, `ma_thuoc`, `ten_thuoc`, `lsx`, `don_vi_le`, `so_luong`, `don_gia`, `thanh_tien`, `hsd`) VALUES ('NK001', '97', '', '6124043', 'donvi', '3', '0', '0', '2029-01-06');</v>
      </c>
    </row>
    <row r="99" spans="1:19" ht="15.75">
      <c r="A99">
        <v>98</v>
      </c>
      <c r="B99" s="4" t="s">
        <v>16</v>
      </c>
      <c r="C99" s="4" t="s">
        <v>119</v>
      </c>
      <c r="D99" s="12" t="s">
        <v>209</v>
      </c>
      <c r="E99" s="4" t="s">
        <v>603</v>
      </c>
      <c r="F99" s="4" t="str">
        <f t="shared" si="16"/>
        <v>Viên</v>
      </c>
      <c r="G99" s="12" t="s">
        <v>386</v>
      </c>
      <c r="H99" s="11">
        <f>4800*30</f>
        <v>144000</v>
      </c>
      <c r="I99" s="11">
        <v>144000</v>
      </c>
      <c r="J99" s="4">
        <v>3</v>
      </c>
      <c r="K99" s="11">
        <v>4900</v>
      </c>
      <c r="L99" s="11">
        <v>147000</v>
      </c>
      <c r="M99" s="4" t="s">
        <v>461</v>
      </c>
      <c r="N99" s="32">
        <v>46763</v>
      </c>
      <c r="O99" s="13">
        <v>46272</v>
      </c>
      <c r="P99" s="30">
        <f t="shared" si="17"/>
        <v>432000</v>
      </c>
      <c r="Q99" s="9" t="str">
        <f t="shared" si="18"/>
        <v>2028-01-11</v>
      </c>
      <c r="R99" t="str">
        <f t="shared" si="19"/>
        <v>INSERT INTO `nhathuoc_bsphong`.`dm_thuoc` (`ma_thuoc`, `ten_thuoc`, `hoat_chat`, `don_vi_chan`, `he_so`, `don_vi_le`, `nhom_thuoc`, `gia_nhap`, `gia_ban`) VALUES ('98', 'Tanganil 500 H/30v', 'Acetylleucine 500mg', 'Hộp', '1', ' Viên ', '  Thần kinh ', '4900', '4900');</v>
      </c>
      <c r="S99" t="str">
        <f t="shared" si="25"/>
        <v>INSERT INTO `nhathuoc_bsphong`.`tbl_nk_ct` (`ma_phieu_nhap`, `ma_thuoc`, `ten_thuoc`, `lsx`, `don_vi_le`, `so_luong`, `don_gia`, `thanh_tien`, `hsd`) VALUES ('NK001', '98', '', '5G3E6', 'donvi', '3', '0', '0', '2028-01-11');</v>
      </c>
    </row>
    <row r="100" spans="1:19" ht="15.75">
      <c r="A100">
        <v>99</v>
      </c>
      <c r="B100" s="6" t="s">
        <v>16</v>
      </c>
      <c r="C100" s="6" t="s">
        <v>132</v>
      </c>
      <c r="D100" s="6" t="s">
        <v>223</v>
      </c>
      <c r="E100" s="4" t="s">
        <v>603</v>
      </c>
      <c r="F100" s="4" t="str">
        <f t="shared" si="16"/>
        <v/>
      </c>
      <c r="G100" s="6"/>
      <c r="H100" s="11"/>
      <c r="I100" s="11"/>
      <c r="J100" s="4"/>
      <c r="K100">
        <v>0</v>
      </c>
      <c r="L100" s="11">
        <v>0</v>
      </c>
      <c r="M100" s="4"/>
      <c r="N100" s="32"/>
      <c r="O100" s="4"/>
      <c r="P100" s="30">
        <f t="shared" si="17"/>
        <v>0</v>
      </c>
      <c r="Q100" s="9" t="e">
        <f t="shared" si="18"/>
        <v>#VALUE!</v>
      </c>
      <c r="R100" t="str">
        <f t="shared" si="19"/>
        <v>INSERT INTO `nhathuoc_bsphong`.`dm_thuoc` (`ma_thuoc`, `ten_thuoc`, `hoat_chat`, `don_vi_chan`, `he_so`, `don_vi_le`, `nhom_thuoc`, `gia_nhap`, `gia_ban`) VALUES ('99', 'Tiêm Tanganil H/5A', 'Acetylleucine 500mg/5ml', 'Hộp', '1', '  ', '  Thần kinh ', '0', '0');</v>
      </c>
      <c r="S100" t="e">
        <f t="shared" si="20"/>
        <v>#VALUE!</v>
      </c>
    </row>
    <row r="101" spans="1:19" ht="15.75">
      <c r="A101">
        <v>100</v>
      </c>
      <c r="B101" s="4" t="s">
        <v>16</v>
      </c>
      <c r="C101" s="4" t="s">
        <v>17</v>
      </c>
      <c r="D101" s="4" t="s">
        <v>518</v>
      </c>
      <c r="E101" s="4" t="s">
        <v>603</v>
      </c>
      <c r="F101" s="4" t="str">
        <f t="shared" si="16"/>
        <v>Viên</v>
      </c>
      <c r="G101" s="4" t="s">
        <v>392</v>
      </c>
      <c r="H101" s="11">
        <v>25000</v>
      </c>
      <c r="I101" s="11">
        <v>25000</v>
      </c>
      <c r="J101" s="4">
        <v>1</v>
      </c>
      <c r="K101" s="11">
        <v>500</v>
      </c>
      <c r="L101" s="11">
        <f>K101*100</f>
        <v>50000</v>
      </c>
      <c r="M101" s="5" t="s">
        <v>564</v>
      </c>
      <c r="N101" s="32" t="s">
        <v>565</v>
      </c>
      <c r="O101" s="4" t="s">
        <v>590</v>
      </c>
      <c r="P101" s="30">
        <f t="shared" si="17"/>
        <v>25000</v>
      </c>
      <c r="Q101" s="9" t="str">
        <f t="shared" si="18"/>
        <v>2028-11-18</v>
      </c>
      <c r="R101" t="str">
        <f t="shared" si="19"/>
        <v>INSERT INTO `nhathuoc_bsphong`.`dm_thuoc` (`ma_thuoc`, `ten_thuoc`, `hoat_chat`, `don_vi_chan`, `he_so`, `don_vi_le`, `nhom_thuoc`, `gia_nhap`, `gia_ban`) VALUES ('100', 'Amitriptilin 25 H/100v', 'Amitriptilin 25mg', 'Hộp', '1', ' Viên ', '  Thần kinh ', '500', '500');</v>
      </c>
      <c r="S101" t="str">
        <f>"INSERT INTO `nhathuoc_bsphong`.`tbl_nk_ct` (`ma_phieu_nhap`, `ma_thuoc`, `ten_thuoc`, `lsx`, `don_vi_le`, `so_luong`, `don_gia`, `thanh_tien`, `hsd`) VALUES ('NK001', '" &amp; A101 &amp; "', '', '" &amp; M101 &amp; "', 'donvi', '"&amp; J101 &amp;"', '0', '0', '"&amp; Q101 &amp;"');"</f>
        <v>INSERT INTO `nhathuoc_bsphong`.`tbl_nk_ct` (`ma_phieu_nhap`, `ma_thuoc`, `ten_thuoc`, `lsx`, `don_vi_le`, `so_luong`, `don_gia`, `thanh_tien`, `hsd`) VALUES ('NK001', '100', '', '091125', 'donvi', '1', '0', '0', '2028-11-18');</v>
      </c>
    </row>
    <row r="102" spans="1:19" ht="15.75">
      <c r="A102">
        <v>101</v>
      </c>
      <c r="B102" s="4" t="s">
        <v>16</v>
      </c>
      <c r="C102" s="4" t="s">
        <v>43</v>
      </c>
      <c r="D102" s="12" t="s">
        <v>156</v>
      </c>
      <c r="E102" s="4" t="s">
        <v>603</v>
      </c>
      <c r="F102" s="4" t="str">
        <f t="shared" si="16"/>
        <v>Viên</v>
      </c>
      <c r="G102" s="12"/>
      <c r="H102" s="11">
        <v>235000</v>
      </c>
      <c r="I102" s="11"/>
      <c r="J102" s="4"/>
      <c r="K102">
        <v>0</v>
      </c>
      <c r="L102" s="11">
        <v>0</v>
      </c>
      <c r="M102" s="4"/>
      <c r="N102" s="32"/>
      <c r="O102" s="4"/>
      <c r="P102" s="30">
        <f t="shared" si="17"/>
        <v>0</v>
      </c>
      <c r="Q102" s="9" t="e">
        <f t="shared" si="18"/>
        <v>#VALUE!</v>
      </c>
      <c r="R102" t="str">
        <f t="shared" si="19"/>
        <v>INSERT INTO `nhathuoc_bsphong`.`dm_thuoc` (`ma_thuoc`, `ten_thuoc`, `hoat_chat`, `don_vi_chan`, `he_so`, `don_vi_le`, `nhom_thuoc`, `gia_nhap`, `gia_ban`) VALUES ('101', 'Betaserc 16 H/60v', 'Betahistin 16mg', 'Hộp', '1', ' Viên ', '  Thần kinh ', '0', '0');</v>
      </c>
      <c r="S102" t="e">
        <f t="shared" si="20"/>
        <v>#VALUE!</v>
      </c>
    </row>
    <row r="103" spans="1:19" ht="15.75">
      <c r="A103">
        <v>102</v>
      </c>
      <c r="B103" s="4" t="s">
        <v>16</v>
      </c>
      <c r="C103" s="4" t="s">
        <v>262</v>
      </c>
      <c r="D103" s="12" t="s">
        <v>263</v>
      </c>
      <c r="E103" s="4" t="s">
        <v>603</v>
      </c>
      <c r="F103" s="4" t="str">
        <f t="shared" si="16"/>
        <v>Viên</v>
      </c>
      <c r="G103" s="12" t="s">
        <v>333</v>
      </c>
      <c r="H103" s="11">
        <v>340000</v>
      </c>
      <c r="I103" s="11">
        <v>330000</v>
      </c>
      <c r="J103" s="4">
        <v>2</v>
      </c>
      <c r="K103" s="11">
        <v>7000</v>
      </c>
      <c r="L103" s="11">
        <v>350000</v>
      </c>
      <c r="M103" s="4">
        <v>732148</v>
      </c>
      <c r="N103" s="32">
        <v>46760</v>
      </c>
      <c r="O103" s="13">
        <v>46272</v>
      </c>
      <c r="P103" s="30">
        <f t="shared" si="17"/>
        <v>660000</v>
      </c>
      <c r="Q103" s="9" t="str">
        <f t="shared" si="18"/>
        <v>2028-01-08</v>
      </c>
      <c r="R103" t="str">
        <f t="shared" si="19"/>
        <v>INSERT INTO `nhathuoc_bsphong`.`dm_thuoc` (`ma_thuoc`, `ten_thuoc`, `hoat_chat`, `don_vi_chan`, `he_so`, `don_vi_le`, `nhom_thuoc`, `gia_nhap`, `gia_ban`) VALUES ('102', 'Betaserc 24 H/50v', 'Betahistin 24mg', 'Hộp', '1', ' Viên ', '  Thần kinh ', '7000', '7000');</v>
      </c>
      <c r="S103" t="str">
        <f t="shared" ref="S103:S104" si="26">"INSERT INTO `nhathuoc_bsphong`.`tbl_nk_ct` (`ma_phieu_nhap`, `ma_thuoc`, `ten_thuoc`, `lsx`, `don_vi_le`, `so_luong`, `don_gia`, `thanh_tien`, `hsd`) VALUES ('NK001', '" &amp; A103 &amp; "', '', '" &amp; M103 &amp; "', 'donvi', '"&amp; J103 &amp;"', '0', '0', '"&amp; Q103 &amp;"');"</f>
        <v>INSERT INTO `nhathuoc_bsphong`.`tbl_nk_ct` (`ma_phieu_nhap`, `ma_thuoc`, `ten_thuoc`, `lsx`, `don_vi_le`, `so_luong`, `don_gia`, `thanh_tien`, `hsd`) VALUES ('NK001', '102', '', '732148', 'donvi', '2', '0', '0', '2028-01-08');</v>
      </c>
    </row>
    <row r="104" spans="1:19" ht="15.75">
      <c r="A104">
        <v>103</v>
      </c>
      <c r="B104" s="4" t="s">
        <v>16</v>
      </c>
      <c r="C104" s="4" t="s">
        <v>80</v>
      </c>
      <c r="D104" s="12" t="s">
        <v>519</v>
      </c>
      <c r="E104" s="4" t="s">
        <v>603</v>
      </c>
      <c r="F104" s="4" t="str">
        <f t="shared" si="16"/>
        <v>Viên</v>
      </c>
      <c r="G104" s="12" t="s">
        <v>520</v>
      </c>
      <c r="H104" s="11">
        <v>35000</v>
      </c>
      <c r="I104" s="11">
        <v>22000</v>
      </c>
      <c r="J104" s="4">
        <v>3</v>
      </c>
      <c r="K104" s="11">
        <v>350</v>
      </c>
      <c r="L104" s="11">
        <v>35000</v>
      </c>
      <c r="M104" s="5" t="s">
        <v>566</v>
      </c>
      <c r="N104" s="32" t="s">
        <v>567</v>
      </c>
      <c r="O104" s="4" t="s">
        <v>590</v>
      </c>
      <c r="P104" s="30">
        <f t="shared" si="17"/>
        <v>66000</v>
      </c>
      <c r="Q104" s="9" t="str">
        <f t="shared" si="18"/>
        <v>2029-05-19</v>
      </c>
      <c r="R104" t="str">
        <f t="shared" si="19"/>
        <v>INSERT INTO `nhathuoc_bsphong`.`dm_thuoc` (`ma_thuoc`, `ten_thuoc`, `hoat_chat`, `don_vi_chan`, `he_so`, `don_vi_le`, `nhom_thuoc`, `gia_nhap`, `gia_ban`) VALUES ('103', 'Hoạt huyết dưỡng não H/100v', 'Cao Đặc Rễ Đinh Lăng 150 mg + Cao Khô Lá Bạch Quả 5 mg', 'Hộp', '1', ' Viên ', '  Thần kinh ', '350', '350');</v>
      </c>
      <c r="S104" t="str">
        <f t="shared" si="26"/>
        <v>INSERT INTO `nhathuoc_bsphong`.`tbl_nk_ct` (`ma_phieu_nhap`, `ma_thuoc`, `ten_thuoc`, `lsx`, `don_vi_le`, `so_luong`, `don_gia`, `thanh_tien`, `hsd`) VALUES ('NK001', '103', '', '020526', 'donvi', '3', '0', '0', '2029-05-19');</v>
      </c>
    </row>
    <row r="105" spans="1:19" ht="15.75">
      <c r="A105">
        <v>104</v>
      </c>
      <c r="B105" s="4" t="s">
        <v>16</v>
      </c>
      <c r="C105" s="4" t="s">
        <v>120</v>
      </c>
      <c r="D105" s="12" t="s">
        <v>210</v>
      </c>
      <c r="E105" s="4" t="s">
        <v>603</v>
      </c>
      <c r="F105" s="4" t="str">
        <f t="shared" si="16"/>
        <v>Viên</v>
      </c>
      <c r="G105" s="12"/>
      <c r="H105" s="11"/>
      <c r="I105" s="11"/>
      <c r="J105" s="4"/>
      <c r="K105">
        <v>0</v>
      </c>
      <c r="L105" s="11"/>
      <c r="M105" s="4"/>
      <c r="N105" s="32"/>
      <c r="O105" s="4"/>
      <c r="P105" s="30">
        <f t="shared" si="17"/>
        <v>0</v>
      </c>
      <c r="Q105" s="9" t="e">
        <f t="shared" si="18"/>
        <v>#VALUE!</v>
      </c>
      <c r="R105" t="str">
        <f t="shared" si="19"/>
        <v>INSERT INTO `nhathuoc_bsphong`.`dm_thuoc` (`ma_thuoc`, `ten_thuoc`, `hoat_chat`, `don_vi_chan`, `he_so`, `don_vi_le`, `nhom_thuoc`, `gia_nhap`, `gia_ban`) VALUES ('104', 'Tegretol 200 H/50v', 'Carbamazepine 200mg', 'Hộp', '1', ' Viên ', '  Thần kinh ', '0', '0');</v>
      </c>
      <c r="S105" t="e">
        <f t="shared" si="20"/>
        <v>#VALUE!</v>
      </c>
    </row>
    <row r="106" spans="1:19" ht="15.75">
      <c r="A106">
        <v>105</v>
      </c>
      <c r="B106" s="4" t="s">
        <v>16</v>
      </c>
      <c r="C106" s="4" t="s">
        <v>96</v>
      </c>
      <c r="D106" s="12" t="s">
        <v>521</v>
      </c>
      <c r="E106" s="4" t="s">
        <v>603</v>
      </c>
      <c r="F106" s="4" t="str">
        <f t="shared" si="16"/>
        <v>Viên</v>
      </c>
      <c r="G106" s="12" t="s">
        <v>522</v>
      </c>
      <c r="H106" s="11">
        <v>77000</v>
      </c>
      <c r="I106" s="11">
        <v>65000</v>
      </c>
      <c r="J106" s="4">
        <v>2</v>
      </c>
      <c r="K106" s="11">
        <v>1400</v>
      </c>
      <c r="L106" s="11">
        <v>84000</v>
      </c>
      <c r="M106" s="4" t="s">
        <v>568</v>
      </c>
      <c r="N106" s="32">
        <v>46695</v>
      </c>
      <c r="O106" s="4" t="s">
        <v>590</v>
      </c>
      <c r="P106" s="30">
        <f t="shared" si="17"/>
        <v>130000</v>
      </c>
      <c r="Q106" s="9" t="str">
        <f t="shared" si="18"/>
        <v>2027-11-04</v>
      </c>
      <c r="R106" t="str">
        <f t="shared" si="19"/>
        <v>INSERT INTO `nhathuoc_bsphong`.`dm_thuoc` (`ma_thuoc`, `ten_thuoc`, `hoat_chat`, `don_vi_chan`, `he_so`, `don_vi_le`, `nhom_thuoc`, `gia_nhap`, `gia_ban`) VALUES ('105', 'Sarariz H/60v', 'Flunarizine 5mg', 'Hộp', '1', ' Viên ', '  Thần kinh ', '1400', '1400');</v>
      </c>
      <c r="S106" t="str">
        <f>"INSERT INTO `nhathuoc_bsphong`.`tbl_nk_ct` (`ma_phieu_nhap`, `ma_thuoc`, `ten_thuoc`, `lsx`, `don_vi_le`, `so_luong`, `don_gia`, `thanh_tien`, `hsd`) VALUES ('NK001', '" &amp; A106 &amp; "', '', '" &amp; M106 &amp; "', 'donvi', '"&amp; J106 &amp;"', '0', '0', '"&amp; Q106 &amp;"');"</f>
        <v>INSERT INTO `nhathuoc_bsphong`.`tbl_nk_ct` (`ma_phieu_nhap`, `ma_thuoc`, `ten_thuoc`, `lsx`, `don_vi_le`, `so_luong`, `don_gia`, `thanh_tien`, `hsd`) VALUES ('NK001', '105', '', 'KH002', 'donvi', '2', '0', '0', '2027-11-04');</v>
      </c>
    </row>
    <row r="107" spans="1:19" ht="15.75">
      <c r="A107">
        <v>106</v>
      </c>
      <c r="B107" s="4" t="s">
        <v>16</v>
      </c>
      <c r="C107" s="4" t="s">
        <v>75</v>
      </c>
      <c r="D107" s="12" t="s">
        <v>177</v>
      </c>
      <c r="E107" s="4" t="s">
        <v>603</v>
      </c>
      <c r="F107" s="4" t="str">
        <f t="shared" si="16"/>
        <v>Viên</v>
      </c>
      <c r="G107" s="12"/>
      <c r="H107" s="11"/>
      <c r="I107" s="11"/>
      <c r="J107" s="4"/>
      <c r="K107">
        <v>0</v>
      </c>
      <c r="L107" s="11"/>
      <c r="M107" s="4"/>
      <c r="N107" s="32"/>
      <c r="O107" s="4"/>
      <c r="P107" s="30">
        <f t="shared" si="17"/>
        <v>0</v>
      </c>
      <c r="Q107" s="9" t="e">
        <f t="shared" si="18"/>
        <v>#VALUE!</v>
      </c>
      <c r="R107" t="str">
        <f t="shared" si="19"/>
        <v>INSERT INTO `nhathuoc_bsphong`.`dm_thuoc` (`ma_thuoc`, `ten_thuoc`, `hoat_chat`, `don_vi_chan`, `he_so`, `don_vi_le`, `nhom_thuoc`, `gia_nhap`, `gia_ban`) VALUES ('106', 'Ginkgo Extra DV 140 H/60v', 'Ginkgo biloba 140mg, Rutin: 10mg,..', 'Hộp', '1', ' Viên ', '  Thần kinh ', '0', '0');</v>
      </c>
      <c r="S107" t="e">
        <f t="shared" si="20"/>
        <v>#VALUE!</v>
      </c>
    </row>
    <row r="108" spans="1:19" ht="15.75">
      <c r="A108">
        <v>107</v>
      </c>
      <c r="B108" s="4" t="s">
        <v>16</v>
      </c>
      <c r="C108" s="4" t="s">
        <v>103</v>
      </c>
      <c r="D108" s="12" t="s">
        <v>523</v>
      </c>
      <c r="E108" s="4" t="s">
        <v>603</v>
      </c>
      <c r="F108" s="4" t="str">
        <f t="shared" si="16"/>
        <v>Viên</v>
      </c>
      <c r="G108" s="12" t="s">
        <v>335</v>
      </c>
      <c r="H108" s="11">
        <v>126000</v>
      </c>
      <c r="I108" s="11">
        <v>122000</v>
      </c>
      <c r="J108" s="4">
        <v>2</v>
      </c>
      <c r="K108" s="11">
        <v>1500</v>
      </c>
      <c r="L108" s="11">
        <v>135000</v>
      </c>
      <c r="M108" s="4">
        <v>761225</v>
      </c>
      <c r="N108" s="32">
        <v>46977</v>
      </c>
      <c r="O108" s="4" t="s">
        <v>590</v>
      </c>
      <c r="P108" s="30">
        <f t="shared" si="17"/>
        <v>244000</v>
      </c>
      <c r="Q108" s="9" t="str">
        <f t="shared" si="18"/>
        <v>2028-08-12</v>
      </c>
      <c r="R108" t="str">
        <f t="shared" si="19"/>
        <v>INSERT INTO `nhathuoc_bsphong`.`dm_thuoc` (`ma_thuoc`, `ten_thuoc`, `hoat_chat`, `don_vi_chan`, `he_so`, `don_vi_le`, `nhom_thuoc`, `gia_nhap`, `gia_ban`) VALUES ('107', 'Pracetam 800 H/90v', 'Piracetam 800mg', 'Hộp', '1', ' Viên ', '  Thần kinh ', '1500', '1500');</v>
      </c>
      <c r="S108" t="str">
        <f>"INSERT INTO `nhathuoc_bsphong`.`tbl_nk_ct` (`ma_phieu_nhap`, `ma_thuoc`, `ten_thuoc`, `lsx`, `don_vi_le`, `so_luong`, `don_gia`, `thanh_tien`, `hsd`) VALUES ('NK001', '" &amp; A108 &amp; "', '', '" &amp; M108 &amp; "', 'donvi', '"&amp; J108 &amp;"', '0', '0', '"&amp; Q108 &amp;"');"</f>
        <v>INSERT INTO `nhathuoc_bsphong`.`tbl_nk_ct` (`ma_phieu_nhap`, `ma_thuoc`, `ten_thuoc`, `lsx`, `don_vi_le`, `so_luong`, `don_gia`, `thanh_tien`, `hsd`) VALUES ('NK001', '107', '', '761225', 'donvi', '2', '0', '0', '2028-08-12');</v>
      </c>
    </row>
    <row r="109" spans="1:19" ht="15.75">
      <c r="A109">
        <v>108</v>
      </c>
      <c r="B109" s="4" t="s">
        <v>16</v>
      </c>
      <c r="C109" s="4" t="s">
        <v>90</v>
      </c>
      <c r="D109" s="12" t="s">
        <v>187</v>
      </c>
      <c r="E109" s="4" t="s">
        <v>603</v>
      </c>
      <c r="F109" s="4" t="str">
        <f t="shared" si="16"/>
        <v>Viên</v>
      </c>
      <c r="G109" s="12"/>
      <c r="H109" s="11"/>
      <c r="I109" s="11"/>
      <c r="J109" s="4"/>
      <c r="K109">
        <v>0</v>
      </c>
      <c r="L109" s="11"/>
      <c r="M109" s="4"/>
      <c r="N109" s="32"/>
      <c r="O109" s="4"/>
      <c r="P109" s="30">
        <f t="shared" si="17"/>
        <v>0</v>
      </c>
      <c r="Q109" s="9" t="e">
        <f t="shared" si="18"/>
        <v>#VALUE!</v>
      </c>
      <c r="R109" t="str">
        <f t="shared" si="19"/>
        <v>INSERT INTO `nhathuoc_bsphong`.`dm_thuoc` (`ma_thuoc`, `ten_thuoc`, `hoat_chat`, `don_vi_chan`, `he_so`, `don_vi_le`, `nhom_thuoc`, `gia_nhap`, `gia_ban`) VALUES ('108', 'Lyapi 100 H/30v', 'Pregabalin 100 mg', 'Hộp', '1', ' Viên ', '  Thần kinh ', '0', '0');</v>
      </c>
      <c r="S109" t="e">
        <f t="shared" si="20"/>
        <v>#VALUE!</v>
      </c>
    </row>
    <row r="110" spans="1:19" ht="15.75">
      <c r="A110">
        <v>109</v>
      </c>
      <c r="B110" s="4" t="s">
        <v>16</v>
      </c>
      <c r="C110" s="4" t="s">
        <v>91</v>
      </c>
      <c r="D110" s="12" t="s">
        <v>188</v>
      </c>
      <c r="E110" s="4" t="s">
        <v>603</v>
      </c>
      <c r="F110" s="4" t="str">
        <f t="shared" si="16"/>
        <v>Viên</v>
      </c>
      <c r="G110" s="12"/>
      <c r="H110" s="11"/>
      <c r="I110" s="11"/>
      <c r="J110" s="4"/>
      <c r="K110">
        <v>0</v>
      </c>
      <c r="L110" s="11"/>
      <c r="M110" s="4"/>
      <c r="N110" s="32"/>
      <c r="O110" s="4"/>
      <c r="P110" s="30">
        <f t="shared" si="17"/>
        <v>0</v>
      </c>
      <c r="Q110" s="9" t="e">
        <f t="shared" si="18"/>
        <v>#VALUE!</v>
      </c>
      <c r="R110" t="str">
        <f t="shared" si="19"/>
        <v>INSERT INTO `nhathuoc_bsphong`.`dm_thuoc` (`ma_thuoc`, `ten_thuoc`, `hoat_chat`, `don_vi_chan`, `he_so`, `don_vi_le`, `nhom_thuoc`, `gia_nhap`, `gia_ban`) VALUES ('109', 'Lyapi 50 H/100v', 'Pregabalin 50', 'Hộp', '1', ' Viên ', '  Thần kinh ', '0', '0');</v>
      </c>
      <c r="S110" t="e">
        <f t="shared" si="20"/>
        <v>#VALUE!</v>
      </c>
    </row>
    <row r="111" spans="1:19" ht="15.75">
      <c r="A111">
        <v>110</v>
      </c>
      <c r="B111" s="4" t="s">
        <v>299</v>
      </c>
      <c r="C111" s="4" t="s">
        <v>301</v>
      </c>
      <c r="D111" s="12" t="s">
        <v>524</v>
      </c>
      <c r="E111" s="4" t="s">
        <v>603</v>
      </c>
      <c r="F111" s="4" t="str">
        <f t="shared" si="16"/>
        <v>Viên</v>
      </c>
      <c r="G111" s="12" t="s">
        <v>525</v>
      </c>
      <c r="H111" s="11"/>
      <c r="I111" s="11">
        <v>290000</v>
      </c>
      <c r="J111" s="4">
        <v>1</v>
      </c>
      <c r="K111" s="11">
        <v>6500</v>
      </c>
      <c r="L111" s="11">
        <v>325000</v>
      </c>
      <c r="M111" s="4" t="s">
        <v>569</v>
      </c>
      <c r="N111" s="32">
        <v>46399</v>
      </c>
      <c r="O111" s="4" t="s">
        <v>590</v>
      </c>
      <c r="P111" s="30">
        <f t="shared" si="17"/>
        <v>290000</v>
      </c>
      <c r="Q111" s="9" t="str">
        <f t="shared" si="18"/>
        <v>2027-01-12</v>
      </c>
      <c r="R111" t="str">
        <f t="shared" si="19"/>
        <v>INSERT INTO `nhathuoc_bsphong`.`dm_thuoc` (`ma_thuoc`, `ten_thuoc`, `hoat_chat`, `don_vi_chan`, `he_so`, `don_vi_le`, `nhom_thuoc`, `gia_nhap`, `gia_ban`) VALUES ('110', 'Tebantin 300 H/50v', 'Gabapentin 300mg', 'Hộp', '1', ' Viên ', '  Thần kinh  ', '6500', '6500');</v>
      </c>
      <c r="S111" t="str">
        <f t="shared" ref="S111:S113" si="27">"INSERT INTO `nhathuoc_bsphong`.`tbl_nk_ct` (`ma_phieu_nhap`, `ma_thuoc`, `ten_thuoc`, `lsx`, `don_vi_le`, `so_luong`, `don_gia`, `thanh_tien`, `hsd`) VALUES ('NK001', '" &amp; A111 &amp; "', '', '" &amp; M111 &amp; "', 'donvi', '"&amp; J111 &amp;"', '0', '0', '"&amp; Q111 &amp;"');"</f>
        <v>INSERT INTO `nhathuoc_bsphong`.`tbl_nk_ct` (`ma_phieu_nhap`, `ma_thuoc`, `ten_thuoc`, `lsx`, `don_vi_le`, `so_luong`, `don_gia`, `thanh_tien`, `hsd`) VALUES ('NK001', '110', '', 'T61213A', 'donvi', '1', '0', '0', '2027-01-12');</v>
      </c>
    </row>
    <row r="112" spans="1:19" ht="15.75">
      <c r="A112">
        <v>111</v>
      </c>
      <c r="B112" s="4" t="s">
        <v>299</v>
      </c>
      <c r="C112" s="4" t="s">
        <v>301</v>
      </c>
      <c r="D112" s="12" t="s">
        <v>526</v>
      </c>
      <c r="E112" s="4" t="s">
        <v>603</v>
      </c>
      <c r="F112" s="4" t="str">
        <f t="shared" si="16"/>
        <v>Viên</v>
      </c>
      <c r="G112" s="12" t="s">
        <v>342</v>
      </c>
      <c r="H112" s="11">
        <v>124000</v>
      </c>
      <c r="I112" s="11">
        <v>60000</v>
      </c>
      <c r="J112" s="4">
        <v>1</v>
      </c>
      <c r="K112" s="11">
        <v>1240</v>
      </c>
      <c r="L112" s="11">
        <v>124000</v>
      </c>
      <c r="M112" s="5" t="s">
        <v>570</v>
      </c>
      <c r="N112" s="32">
        <v>46764</v>
      </c>
      <c r="O112" s="4" t="s">
        <v>590</v>
      </c>
      <c r="P112" s="30">
        <f t="shared" si="17"/>
        <v>60000</v>
      </c>
      <c r="Q112" s="9" t="str">
        <f t="shared" si="18"/>
        <v>2028-01-12</v>
      </c>
      <c r="R112" t="str">
        <f t="shared" si="19"/>
        <v>INSERT INTO `nhathuoc_bsphong`.`dm_thuoc` (`ma_thuoc`, `ten_thuoc`, `hoat_chat`, `don_vi_chan`, `he_so`, `don_vi_le`, `nhom_thuoc`, `gia_nhap`, `gia_ban`) VALUES ('111', 'Gaptinew H/100v', 'Gabapentin 300mg', 'Hộp', '1', ' Viên ', '  Thần kinh  ', '1240', '1240');</v>
      </c>
      <c r="S112" t="str">
        <f t="shared" si="27"/>
        <v>INSERT INTO `nhathuoc_bsphong`.`tbl_nk_ct` (`ma_phieu_nhap`, `ma_thuoc`, `ten_thuoc`, `lsx`, `don_vi_le`, `so_luong`, `don_gia`, `thanh_tien`, `hsd`) VALUES ('NK001', '111', '', '041125', 'donvi', '1', '0', '0', '2028-01-12');</v>
      </c>
    </row>
    <row r="113" spans="1:19" ht="15.75">
      <c r="A113">
        <v>112</v>
      </c>
      <c r="B113" s="6" t="s">
        <v>309</v>
      </c>
      <c r="C113" s="6" t="s">
        <v>123</v>
      </c>
      <c r="D113" s="6" t="s">
        <v>311</v>
      </c>
      <c r="E113" s="4" t="s">
        <v>603</v>
      </c>
      <c r="F113" s="4" t="str">
        <f t="shared" si="16"/>
        <v/>
      </c>
      <c r="G113" s="6" t="s">
        <v>363</v>
      </c>
      <c r="H113" s="11">
        <v>5000</v>
      </c>
      <c r="I113" s="11">
        <v>4500</v>
      </c>
      <c r="J113" s="4">
        <v>3</v>
      </c>
      <c r="K113" s="11">
        <v>5000</v>
      </c>
      <c r="L113" s="11">
        <v>5000</v>
      </c>
      <c r="M113" s="4" t="s">
        <v>571</v>
      </c>
      <c r="N113" s="32">
        <v>46818</v>
      </c>
      <c r="O113" s="4" t="s">
        <v>590</v>
      </c>
      <c r="P113" s="30">
        <f t="shared" si="17"/>
        <v>13500</v>
      </c>
      <c r="Q113" s="9" t="str">
        <f t="shared" si="18"/>
        <v>2028-03-06</v>
      </c>
      <c r="R113" t="str">
        <f t="shared" si="19"/>
        <v>INSERT INTO `nhathuoc_bsphong`.`dm_thuoc` (`ma_thuoc`, `ten_thuoc`, `hoat_chat`, `don_vi_chan`, `he_so`, `don_vi_le`, `nhom_thuoc`, `gia_nhap`, `gia_ban`) VALUES ('112', 'Adrenalin H/10A', 'Adrenalin 1mg/1ml', 'Hộp', '1', '  ', '  Thuốc tiêm ', '5000', '5000');</v>
      </c>
      <c r="S113" t="str">
        <f t="shared" si="27"/>
        <v>INSERT INTO `nhathuoc_bsphong`.`tbl_nk_ct` (`ma_phieu_nhap`, `ma_thuoc`, `ten_thuoc`, `lsx`, `don_vi_le`, `so_luong`, `don_gia`, `thanh_tien`, `hsd`) VALUES ('NK001', '112', '', '25D023', 'donvi', '3', '0', '0', '2028-03-06');</v>
      </c>
    </row>
    <row r="114" spans="1:19" ht="17.100000000000001" customHeight="1">
      <c r="A114">
        <v>113</v>
      </c>
      <c r="B114" s="6" t="s">
        <v>309</v>
      </c>
      <c r="C114" s="6" t="s">
        <v>310</v>
      </c>
      <c r="D114" s="6" t="s">
        <v>213</v>
      </c>
      <c r="E114" s="4" t="s">
        <v>603</v>
      </c>
      <c r="F114" s="4" t="str">
        <f t="shared" si="16"/>
        <v/>
      </c>
      <c r="G114" s="6"/>
      <c r="H114" s="11"/>
      <c r="I114" s="11"/>
      <c r="J114" s="4"/>
      <c r="K114">
        <v>0</v>
      </c>
      <c r="L114" s="11"/>
      <c r="M114" s="4"/>
      <c r="N114" s="32"/>
      <c r="O114" s="4"/>
      <c r="P114" s="30">
        <f t="shared" si="17"/>
        <v>0</v>
      </c>
      <c r="Q114" s="9" t="e">
        <f t="shared" si="18"/>
        <v>#VALUE!</v>
      </c>
      <c r="R114" t="str">
        <f t="shared" si="19"/>
        <v>INSERT INTO `nhathuoc_bsphong`.`dm_thuoc` (`ma_thuoc`, `ten_thuoc`, `hoat_chat`, `don_vi_chan`, `he_so`, `don_vi_le`, `nhom_thuoc`, `gia_nhap`, `gia_ban`) VALUES ('113', 'Tiêm Calci Clorid 500mg/5ml', 'Calci clorid dihydrat 500 mg / 5ml', 'Hộp', '1', '  ', '  Thuốc tiêm ', '0', '0');</v>
      </c>
      <c r="S114" t="e">
        <f t="shared" si="20"/>
        <v>#VALUE!</v>
      </c>
    </row>
    <row r="115" spans="1:19" ht="15.75">
      <c r="A115">
        <v>114</v>
      </c>
      <c r="B115" s="6" t="s">
        <v>309</v>
      </c>
      <c r="C115" s="6" t="s">
        <v>414</v>
      </c>
      <c r="D115" s="6" t="s">
        <v>415</v>
      </c>
      <c r="E115" s="4" t="s">
        <v>603</v>
      </c>
      <c r="F115" s="4" t="str">
        <f t="shared" si="16"/>
        <v/>
      </c>
      <c r="G115" s="6"/>
      <c r="H115" s="11"/>
      <c r="I115" s="11"/>
      <c r="J115" s="4"/>
      <c r="K115">
        <v>0</v>
      </c>
      <c r="L115" s="11"/>
      <c r="M115" s="4"/>
      <c r="N115" s="32"/>
      <c r="O115" s="4"/>
      <c r="P115" s="30">
        <f t="shared" si="17"/>
        <v>0</v>
      </c>
      <c r="Q115" s="9" t="e">
        <f t="shared" si="18"/>
        <v>#VALUE!</v>
      </c>
      <c r="R115" t="str">
        <f t="shared" si="19"/>
        <v>INSERT INTO `nhathuoc_bsphong`.`dm_thuoc` (`ma_thuoc`, `ten_thuoc`, `hoat_chat`, `don_vi_chan`, `he_so`, `don_vi_le`, `nhom_thuoc`, `gia_nhap`, `gia_ban`) VALUES ('114', 'Tiêm Cefizone 1g H/10A', 'Ceftriaxone 1g', 'Hộp', '1', '  ', '  Thuốc tiêm ', '0', '0');</v>
      </c>
      <c r="S115" t="e">
        <f t="shared" si="20"/>
        <v>#VALUE!</v>
      </c>
    </row>
    <row r="116" spans="1:19" ht="15.75">
      <c r="A116">
        <v>115</v>
      </c>
      <c r="B116" s="6" t="s">
        <v>309</v>
      </c>
      <c r="C116" s="6" t="s">
        <v>527</v>
      </c>
      <c r="D116" s="6" t="s">
        <v>528</v>
      </c>
      <c r="E116" s="4" t="s">
        <v>603</v>
      </c>
      <c r="F116" s="4" t="str">
        <f t="shared" si="16"/>
        <v/>
      </c>
      <c r="G116" s="6" t="s">
        <v>363</v>
      </c>
      <c r="H116" s="11">
        <v>1200</v>
      </c>
      <c r="I116" s="11">
        <v>1500</v>
      </c>
      <c r="J116" s="4">
        <v>3</v>
      </c>
      <c r="K116" s="11">
        <v>3000</v>
      </c>
      <c r="L116" s="11">
        <v>3000</v>
      </c>
      <c r="M116" s="4">
        <v>263006</v>
      </c>
      <c r="N116" s="32">
        <v>47180</v>
      </c>
      <c r="O116" s="4" t="s">
        <v>590</v>
      </c>
      <c r="P116" s="30">
        <f t="shared" si="17"/>
        <v>4500</v>
      </c>
      <c r="Q116" s="9" t="str">
        <f t="shared" si="18"/>
        <v>2029-03-03</v>
      </c>
      <c r="R116" t="str">
        <f t="shared" si="19"/>
        <v>INSERT INTO `nhathuoc_bsphong`.`dm_thuoc` (`ma_thuoc`, `ten_thuoc`, `hoat_chat`, `don_vi_chan`, `he_so`, `don_vi_le`, `nhom_thuoc`, `gia_nhap`, `gia_ban`) VALUES ('115', 'Tiêm Dexamethason 4mg ', 'Dexamethason 4mg', 'Hộp', '1', '  ', '  Thuốc tiêm ', '3000', '3000');</v>
      </c>
      <c r="S116" t="str">
        <f t="shared" ref="S116:S119" si="28">"INSERT INTO `nhathuoc_bsphong`.`tbl_nk_ct` (`ma_phieu_nhap`, `ma_thuoc`, `ten_thuoc`, `lsx`, `don_vi_le`, `so_luong`, `don_gia`, `thanh_tien`, `hsd`) VALUES ('NK001', '" &amp; A116 &amp; "', '', '" &amp; M116 &amp; "', 'donvi', '"&amp; J116 &amp;"', '0', '0', '"&amp; Q116 &amp;"');"</f>
        <v>INSERT INTO `nhathuoc_bsphong`.`tbl_nk_ct` (`ma_phieu_nhap`, `ma_thuoc`, `ten_thuoc`, `lsx`, `don_vi_le`, `so_luong`, `don_gia`, `thanh_tien`, `hsd`) VALUES ('NK001', '115', '', '263006', 'donvi', '3', '0', '0', '2029-03-03');</v>
      </c>
    </row>
    <row r="117" spans="1:19" ht="15.75">
      <c r="A117">
        <v>116</v>
      </c>
      <c r="B117" s="6" t="s">
        <v>309</v>
      </c>
      <c r="C117" s="6" t="s">
        <v>133</v>
      </c>
      <c r="D117" s="6" t="s">
        <v>529</v>
      </c>
      <c r="E117" s="4" t="s">
        <v>603</v>
      </c>
      <c r="F117" s="4" t="str">
        <f t="shared" si="16"/>
        <v/>
      </c>
      <c r="G117" s="6" t="s">
        <v>363</v>
      </c>
      <c r="H117" s="11"/>
      <c r="I117" s="11">
        <v>2300</v>
      </c>
      <c r="J117" s="4">
        <v>3</v>
      </c>
      <c r="K117" s="11">
        <v>4500</v>
      </c>
      <c r="L117" s="11">
        <v>4500</v>
      </c>
      <c r="M117" s="4">
        <v>263005</v>
      </c>
      <c r="N117" s="32" t="s">
        <v>572</v>
      </c>
      <c r="O117" s="4" t="s">
        <v>594</v>
      </c>
      <c r="P117" s="30">
        <f t="shared" si="17"/>
        <v>6900</v>
      </c>
      <c r="Q117" s="9" t="str">
        <f t="shared" si="18"/>
        <v>2029-03-16</v>
      </c>
      <c r="R117" t="str">
        <f t="shared" si="19"/>
        <v>INSERT INTO `nhathuoc_bsphong`.`dm_thuoc` (`ma_thuoc`, `ten_thuoc`, `hoat_chat`, `don_vi_chan`, `he_so`, `don_vi_le`, `nhom_thuoc`, `gia_nhap`, `gia_ban`) VALUES ('116', 'Tiêm Diclophenac 75mg/3ml ', 'Diclofenac 75mg/3ml', 'Hộp', '1', '  ', '  Thuốc tiêm ', '4500', '4500');</v>
      </c>
      <c r="S117" t="str">
        <f t="shared" si="28"/>
        <v>INSERT INTO `nhathuoc_bsphong`.`tbl_nk_ct` (`ma_phieu_nhap`, `ma_thuoc`, `ten_thuoc`, `lsx`, `don_vi_le`, `so_luong`, `don_gia`, `thanh_tien`, `hsd`) VALUES ('NK001', '116', '', '263005', 'donvi', '3', '0', '0', '2029-03-16');</v>
      </c>
    </row>
    <row r="118" spans="1:19" ht="15.75">
      <c r="A118">
        <v>117</v>
      </c>
      <c r="B118" s="6" t="s">
        <v>309</v>
      </c>
      <c r="C118" s="6" t="s">
        <v>102</v>
      </c>
      <c r="D118" s="6" t="s">
        <v>530</v>
      </c>
      <c r="E118" s="4" t="s">
        <v>603</v>
      </c>
      <c r="F118" s="4" t="str">
        <f t="shared" si="16"/>
        <v/>
      </c>
      <c r="G118" s="6" t="s">
        <v>531</v>
      </c>
      <c r="H118" s="11">
        <v>39000</v>
      </c>
      <c r="I118" s="11">
        <v>35000</v>
      </c>
      <c r="J118" s="4">
        <v>3</v>
      </c>
      <c r="K118" s="11">
        <v>40000</v>
      </c>
      <c r="L118" s="11">
        <v>40000</v>
      </c>
      <c r="M118" s="4">
        <v>26001</v>
      </c>
      <c r="N118" s="32">
        <v>47696</v>
      </c>
      <c r="O118" s="4" t="s">
        <v>590</v>
      </c>
      <c r="P118" s="30">
        <f t="shared" si="17"/>
        <v>105000</v>
      </c>
      <c r="Q118" s="9" t="str">
        <f t="shared" si="18"/>
        <v>2030-08-01</v>
      </c>
      <c r="R118" t="str">
        <f t="shared" si="19"/>
        <v>INSERT INTO `nhathuoc_bsphong`.`dm_thuoc` (`ma_thuoc`, `ten_thuoc`, `hoat_chat`, `don_vi_chan`, `he_so`, `don_vi_le`, `nhom_thuoc`, `gia_nhap`, `gia_ban`) VALUES ('117', 'Tiêm Esogas 40', 'Esomeprazol 40mg', 'Hộp', '1', '  ', '  Thuốc tiêm ', '40000', '40000');</v>
      </c>
      <c r="S118" t="str">
        <f t="shared" si="28"/>
        <v>INSERT INTO `nhathuoc_bsphong`.`tbl_nk_ct` (`ma_phieu_nhap`, `ma_thuoc`, `ten_thuoc`, `lsx`, `don_vi_le`, `so_luong`, `don_gia`, `thanh_tien`, `hsd`) VALUES ('NK001', '117', '', '26001', 'donvi', '3', '0', '0', '2030-08-01');</v>
      </c>
    </row>
    <row r="119" spans="1:19" ht="15.75">
      <c r="A119">
        <v>118</v>
      </c>
      <c r="B119" s="4" t="s">
        <v>309</v>
      </c>
      <c r="C119" s="4" t="s">
        <v>124</v>
      </c>
      <c r="D119" s="12" t="s">
        <v>532</v>
      </c>
      <c r="E119" s="4" t="s">
        <v>603</v>
      </c>
      <c r="F119" s="4" t="str">
        <f t="shared" si="16"/>
        <v/>
      </c>
      <c r="G119" s="12" t="s">
        <v>533</v>
      </c>
      <c r="H119" s="11"/>
      <c r="I119" s="11">
        <v>8700</v>
      </c>
      <c r="J119" s="4">
        <v>3</v>
      </c>
      <c r="K119" s="11">
        <v>11000</v>
      </c>
      <c r="L119" s="11">
        <v>11000</v>
      </c>
      <c r="M119" s="4">
        <v>308112</v>
      </c>
      <c r="N119" s="32" t="s">
        <v>573</v>
      </c>
      <c r="O119" s="4" t="s">
        <v>590</v>
      </c>
      <c r="P119" s="30">
        <f t="shared" si="17"/>
        <v>26100</v>
      </c>
      <c r="Q119" s="9" t="str">
        <f t="shared" si="18"/>
        <v>2028-08-19</v>
      </c>
      <c r="R119" t="str">
        <f t="shared" si="19"/>
        <v>INSERT INTO `nhathuoc_bsphong`.`dm_thuoc` (`ma_thuoc`, `ten_thuoc`, `hoat_chat`, `don_vi_chan`, `he_so`, `don_vi_le`, `nhom_thuoc`, `gia_nhap`, `gia_ban`) VALUES ('118', 'Tiêm Buston 20mg/mL', 'Hyoscine butylbromide 20mg/1ml', 'Hộp', '1', '  ', '  Thuốc tiêm ', '11000', '11000');</v>
      </c>
      <c r="S119" t="str">
        <f t="shared" si="28"/>
        <v>INSERT INTO `nhathuoc_bsphong`.`tbl_nk_ct` (`ma_phieu_nhap`, `ma_thuoc`, `ten_thuoc`, `lsx`, `don_vi_le`, `so_luong`, `don_gia`, `thanh_tien`, `hsd`) VALUES ('NK001', '118', '', '308112', 'donvi', '3', '0', '0', '2028-08-19');</v>
      </c>
    </row>
    <row r="120" spans="1:19" ht="15.75">
      <c r="A120">
        <v>119</v>
      </c>
      <c r="B120" s="6" t="s">
        <v>309</v>
      </c>
      <c r="C120" s="6" t="s">
        <v>127</v>
      </c>
      <c r="D120" s="6" t="s">
        <v>216</v>
      </c>
      <c r="E120" s="4" t="s">
        <v>603</v>
      </c>
      <c r="F120" s="4" t="str">
        <f t="shared" si="16"/>
        <v/>
      </c>
      <c r="G120" s="6"/>
      <c r="H120" s="11"/>
      <c r="I120" s="11"/>
      <c r="J120" s="4"/>
      <c r="K120">
        <v>0</v>
      </c>
      <c r="L120" s="11"/>
      <c r="M120" s="4"/>
      <c r="N120" s="32"/>
      <c r="O120" s="4"/>
      <c r="P120" s="30">
        <f t="shared" si="17"/>
        <v>0</v>
      </c>
      <c r="Q120" s="9" t="e">
        <f t="shared" si="18"/>
        <v>#VALUE!</v>
      </c>
      <c r="R120" t="str">
        <f t="shared" si="19"/>
        <v>INSERT INTO `nhathuoc_bsphong`.`dm_thuoc` (`ma_thuoc`, `ten_thuoc`, `hoat_chat`, `don_vi_chan`, `he_so`, `don_vi_le`, `nhom_thuoc`, `gia_nhap`, `gia_ban`) VALUES ('119', 'Tiêm Lidocain Kabi H/100A', 'Lidocaine', 'Hộp', '1', '  ', '  Thuốc tiêm ', '0', '0');</v>
      </c>
      <c r="S120" t="e">
        <f t="shared" si="20"/>
        <v>#VALUE!</v>
      </c>
    </row>
    <row r="121" spans="1:19" s="1" customFormat="1" ht="15.75">
      <c r="A121">
        <v>120</v>
      </c>
      <c r="B121" s="6" t="s">
        <v>309</v>
      </c>
      <c r="C121" s="6" t="s">
        <v>128</v>
      </c>
      <c r="D121" s="6" t="s">
        <v>217</v>
      </c>
      <c r="E121" s="4" t="s">
        <v>603</v>
      </c>
      <c r="F121" s="4" t="str">
        <f t="shared" si="16"/>
        <v/>
      </c>
      <c r="G121" s="6"/>
      <c r="H121" s="11"/>
      <c r="I121" s="11"/>
      <c r="J121" s="4"/>
      <c r="K121">
        <v>0</v>
      </c>
      <c r="L121" s="11"/>
      <c r="M121" s="4"/>
      <c r="N121" s="32"/>
      <c r="O121" s="4"/>
      <c r="P121" s="30">
        <f t="shared" si="17"/>
        <v>0</v>
      </c>
      <c r="Q121" s="9" t="e">
        <f t="shared" si="18"/>
        <v>#VALUE!</v>
      </c>
      <c r="R121" t="str">
        <f t="shared" si="19"/>
        <v>INSERT INTO `nhathuoc_bsphong`.`dm_thuoc` (`ma_thuoc`, `ten_thuoc`, `hoat_chat`, `don_vi_chan`, `he_so`, `don_vi_le`, `nhom_thuoc`, `gia_nhap`, `gia_ban`) VALUES ('120', 'Tiêm Mobic H/5A', 'Meloxicam 15mg/1.5ml', 'Hộp', '1', '  ', '  Thuốc tiêm ', '0', '0');</v>
      </c>
      <c r="S121" t="e">
        <f t="shared" si="20"/>
        <v>#VALUE!</v>
      </c>
    </row>
    <row r="122" spans="1:19" s="1" customFormat="1" ht="15.75">
      <c r="A122">
        <v>121</v>
      </c>
      <c r="B122" s="4" t="s">
        <v>309</v>
      </c>
      <c r="C122" s="4" t="s">
        <v>130</v>
      </c>
      <c r="D122" s="12" t="s">
        <v>534</v>
      </c>
      <c r="E122" s="4" t="s">
        <v>603</v>
      </c>
      <c r="F122" s="4" t="str">
        <f t="shared" si="16"/>
        <v/>
      </c>
      <c r="G122" s="12" t="s">
        <v>531</v>
      </c>
      <c r="H122" s="11">
        <v>40000</v>
      </c>
      <c r="I122" s="11">
        <v>35000</v>
      </c>
      <c r="J122" s="4">
        <v>3</v>
      </c>
      <c r="K122" s="11">
        <v>40000</v>
      </c>
      <c r="L122" s="11">
        <v>40000</v>
      </c>
      <c r="M122" s="4">
        <v>26011</v>
      </c>
      <c r="N122" s="32">
        <v>47455</v>
      </c>
      <c r="O122" s="4" t="s">
        <v>590</v>
      </c>
      <c r="P122" s="30">
        <f t="shared" si="17"/>
        <v>105000</v>
      </c>
      <c r="Q122" s="9" t="str">
        <f t="shared" si="18"/>
        <v>2029-12-03</v>
      </c>
      <c r="R122" t="str">
        <f t="shared" si="19"/>
        <v>INSERT INTO `nhathuoc_bsphong`.`dm_thuoc` (`ma_thuoc`, `ten_thuoc`, `hoat_chat`, `don_vi_chan`, `he_so`, `don_vi_le`, `nhom_thuoc`, `gia_nhap`, `gia_ban`) VALUES ('121', 'Tiêm Soli-Medon 40', 'Methylprednisolone 40mg', 'Hộp', '1', '  ', '  Thuốc tiêm ', '40000', '40000');</v>
      </c>
      <c r="S122" t="str">
        <f>"INSERT INTO `nhathuoc_bsphong`.`tbl_nk_ct` (`ma_phieu_nhap`, `ma_thuoc`, `ten_thuoc`, `lsx`, `don_vi_le`, `so_luong`, `don_gia`, `thanh_tien`, `hsd`) VALUES ('NK001', '" &amp; A122 &amp; "', '', '" &amp; M122 &amp; "', 'donvi', '"&amp; J122 &amp;"', '0', '0', '"&amp; Q122 &amp;"');"</f>
        <v>INSERT INTO `nhathuoc_bsphong`.`tbl_nk_ct` (`ma_phieu_nhap`, `ma_thuoc`, `ten_thuoc`, `lsx`, `don_vi_le`, `so_luong`, `don_gia`, `thanh_tien`, `hsd`) VALUES ('NK001', '121', '', '26011', 'donvi', '3', '0', '0', '2029-12-03');</v>
      </c>
    </row>
    <row r="123" spans="1:19" ht="15.75">
      <c r="A123">
        <v>122</v>
      </c>
      <c r="B123" s="4" t="s">
        <v>309</v>
      </c>
      <c r="C123" s="4" t="s">
        <v>416</v>
      </c>
      <c r="D123" s="12" t="s">
        <v>417</v>
      </c>
      <c r="E123" s="4" t="s">
        <v>603</v>
      </c>
      <c r="F123" s="4" t="str">
        <f t="shared" si="16"/>
        <v/>
      </c>
      <c r="G123" s="12"/>
      <c r="H123" s="11"/>
      <c r="I123" s="11"/>
      <c r="J123" s="4"/>
      <c r="K123">
        <v>0</v>
      </c>
      <c r="L123" s="11"/>
      <c r="M123" s="4"/>
      <c r="N123" s="32"/>
      <c r="O123" s="4"/>
      <c r="P123" s="30">
        <f t="shared" si="17"/>
        <v>0</v>
      </c>
      <c r="Q123" s="9" t="e">
        <f t="shared" si="18"/>
        <v>#VALUE!</v>
      </c>
      <c r="R123" t="str">
        <f t="shared" si="19"/>
        <v>INSERT INTO `nhathuoc_bsphong`.`dm_thuoc` (`ma_thuoc`, `ten_thuoc`, `hoat_chat`, `don_vi_chan`, `he_so`, `don_vi_le`, `nhom_thuoc`, `gia_nhap`, `gia_ban`) VALUES ('122', 'Tiêm Depo-Medrol 40/1ml', 'Methylprednisolone Acetate 40mg', 'Hộp', '1', '  ', '  Thuốc tiêm ', '0', '0');</v>
      </c>
      <c r="S123" t="e">
        <f t="shared" si="20"/>
        <v>#VALUE!</v>
      </c>
    </row>
    <row r="124" spans="1:19" ht="15.75">
      <c r="A124">
        <v>123</v>
      </c>
      <c r="B124" s="6" t="s">
        <v>309</v>
      </c>
      <c r="C124" s="6" t="s">
        <v>106</v>
      </c>
      <c r="D124" s="6" t="s">
        <v>535</v>
      </c>
      <c r="E124" s="4" t="s">
        <v>603</v>
      </c>
      <c r="F124" s="4" t="str">
        <f t="shared" si="16"/>
        <v/>
      </c>
      <c r="G124" s="6" t="s">
        <v>536</v>
      </c>
      <c r="H124" s="11">
        <v>2640</v>
      </c>
      <c r="I124" s="11">
        <v>2300</v>
      </c>
      <c r="J124" s="4">
        <v>3</v>
      </c>
      <c r="K124" s="11">
        <v>2640</v>
      </c>
      <c r="L124" s="11">
        <v>2640</v>
      </c>
      <c r="M124" s="4" t="s">
        <v>574</v>
      </c>
      <c r="N124" s="32" t="s">
        <v>575</v>
      </c>
      <c r="O124" s="4" t="s">
        <v>590</v>
      </c>
      <c r="P124" s="30">
        <f t="shared" si="17"/>
        <v>6900</v>
      </c>
      <c r="Q124" s="9" t="str">
        <f t="shared" si="18"/>
        <v>2028-10-14</v>
      </c>
      <c r="R124" t="str">
        <f t="shared" si="19"/>
        <v>INSERT INTO `nhathuoc_bsphong`.`dm_thuoc` (`ma_thuoc`, `ten_thuoc`, `hoat_chat`, `don_vi_chan`, `he_so`, `don_vi_le`, `nhom_thuoc`, `gia_nhap`, `gia_ban`) VALUES ('123', 'Metoclopranid 10mg Kani', 'Metoclopramid 10mg', 'Hộp', '1', '  ', '  Thuốc tiêm ', '2640', '2640');</v>
      </c>
      <c r="S124" t="str">
        <f t="shared" ref="S124:S125" si="29">"INSERT INTO `nhathuoc_bsphong`.`tbl_nk_ct` (`ma_phieu_nhap`, `ma_thuoc`, `ten_thuoc`, `lsx`, `don_vi_le`, `so_luong`, `don_gia`, `thanh_tien`, `hsd`) VALUES ('NK001', '" &amp; A124 &amp; "', '', '" &amp; M124 &amp; "', 'donvi', '"&amp; J124 &amp;"', '0', '0', '"&amp; Q124 &amp;"');"</f>
        <v>INSERT INTO `nhathuoc_bsphong`.`tbl_nk_ct` (`ma_phieu_nhap`, `ma_thuoc`, `ten_thuoc`, `lsx`, `don_vi_le`, `so_luong`, `don_gia`, `thanh_tien`, `hsd`) VALUES ('NK001', '123', '', '86TKA024', 'donvi', '3', '0', '0', '2028-10-14');</v>
      </c>
    </row>
    <row r="125" spans="1:19" ht="15.75">
      <c r="A125">
        <v>124</v>
      </c>
      <c r="B125" s="4" t="s">
        <v>309</v>
      </c>
      <c r="C125" s="4" t="s">
        <v>129</v>
      </c>
      <c r="D125" s="12" t="s">
        <v>219</v>
      </c>
      <c r="E125" s="4" t="s">
        <v>603</v>
      </c>
      <c r="F125" s="4" t="str">
        <f t="shared" si="16"/>
        <v/>
      </c>
      <c r="G125" s="12" t="s">
        <v>537</v>
      </c>
      <c r="H125" s="11"/>
      <c r="I125" s="11">
        <v>45000</v>
      </c>
      <c r="J125" s="4">
        <v>1</v>
      </c>
      <c r="K125" s="11">
        <v>2000</v>
      </c>
      <c r="L125" s="11">
        <v>100000</v>
      </c>
      <c r="M125" s="5" t="s">
        <v>558</v>
      </c>
      <c r="N125" s="32">
        <v>48092</v>
      </c>
      <c r="O125" s="4" t="s">
        <v>590</v>
      </c>
      <c r="P125" s="30">
        <f t="shared" si="17"/>
        <v>45000</v>
      </c>
      <c r="Q125" s="9" t="str">
        <f t="shared" si="18"/>
        <v>2031-09-01</v>
      </c>
      <c r="R125" t="str">
        <f t="shared" si="19"/>
        <v>INSERT INTO `nhathuoc_bsphong`.`dm_thuoc` (`ma_thuoc`, `ten_thuoc`, `hoat_chat`, `don_vi_chan`, `he_so`, `don_vi_le`, `nhom_thuoc`, `gia_nhap`, `gia_ban`) VALUES ('124', 'Tiêm nước cất H/50A', 'Nước cất 5ml', 'Hộp', '1', '  ', '  Thuốc tiêm ', '2000', '2000');</v>
      </c>
      <c r="S125" t="str">
        <f t="shared" si="29"/>
        <v>INSERT INTO `nhathuoc_bsphong`.`tbl_nk_ct` (`ma_phieu_nhap`, `ma_thuoc`, `ten_thuoc`, `lsx`, `don_vi_le`, `so_luong`, `don_gia`, `thanh_tien`, `hsd`) VALUES ('NK001', '124', '', '010126', 'donvi', '1', '0', '0', '2031-09-01');</v>
      </c>
    </row>
    <row r="126" spans="1:19" ht="15.75">
      <c r="A126">
        <v>125</v>
      </c>
      <c r="B126" s="4" t="s">
        <v>309</v>
      </c>
      <c r="C126" s="4" t="s">
        <v>125</v>
      </c>
      <c r="D126" s="12" t="s">
        <v>214</v>
      </c>
      <c r="E126" s="4" t="s">
        <v>603</v>
      </c>
      <c r="F126" s="4" t="str">
        <f t="shared" si="16"/>
        <v/>
      </c>
      <c r="G126" s="12"/>
      <c r="H126" s="11"/>
      <c r="I126" s="11"/>
      <c r="J126" s="4"/>
      <c r="K126">
        <v>0</v>
      </c>
      <c r="L126" s="11"/>
      <c r="M126" s="4"/>
      <c r="N126" s="32"/>
      <c r="O126" s="4"/>
      <c r="P126" s="30">
        <f t="shared" si="17"/>
        <v>0</v>
      </c>
      <c r="Q126" s="9" t="e">
        <f t="shared" si="18"/>
        <v>#VALUE!</v>
      </c>
      <c r="R126" t="str">
        <f t="shared" si="19"/>
        <v>INSERT INTO `nhathuoc_bsphong`.`dm_thuoc` (`ma_thuoc`, `ten_thuoc`, `hoat_chat`, `don_vi_chan`, `he_so`, `don_vi_le`, `nhom_thuoc`, `gia_nhap`, `gia_ban`) VALUES ('125', 'Tiêm Cerebrolysin 10ml H/5A', 'Peptide 215,2mg/1ml', 'Hộp', '1', '  ', '  Thuốc tiêm ', '0', '0');</v>
      </c>
      <c r="S126" t="e">
        <f t="shared" si="20"/>
        <v>#VALUE!</v>
      </c>
    </row>
    <row r="127" spans="1:19" ht="15.75">
      <c r="A127">
        <v>126</v>
      </c>
      <c r="B127" s="4" t="s">
        <v>309</v>
      </c>
      <c r="C127" s="4" t="s">
        <v>418</v>
      </c>
      <c r="D127" s="12" t="s">
        <v>419</v>
      </c>
      <c r="E127" s="4" t="s">
        <v>603</v>
      </c>
      <c r="F127" s="4" t="str">
        <f t="shared" si="16"/>
        <v/>
      </c>
      <c r="G127" s="12"/>
      <c r="H127" s="11"/>
      <c r="I127" s="11"/>
      <c r="J127" s="4"/>
      <c r="K127">
        <v>0</v>
      </c>
      <c r="L127" s="11"/>
      <c r="M127" s="4"/>
      <c r="N127" s="32"/>
      <c r="O127" s="4"/>
      <c r="P127" s="30">
        <f t="shared" si="17"/>
        <v>0</v>
      </c>
      <c r="Q127" s="9" t="e">
        <f t="shared" si="18"/>
        <v>#VALUE!</v>
      </c>
      <c r="R127" t="str">
        <f t="shared" si="19"/>
        <v>INSERT INTO `nhathuoc_bsphong`.`dm_thuoc` (`ma_thuoc`, `ten_thuoc`, `hoat_chat`, `don_vi_chan`, `he_so`, `don_vi_le`, `nhom_thuoc`, `gia_nhap`, `gia_ban`) VALUES ('126', 'Tiêm Spectimed', 'Spectinomycin 2g', 'Hộp', '1', '  ', '  Thuốc tiêm ', '0', '0');</v>
      </c>
      <c r="S127" t="e">
        <f t="shared" si="20"/>
        <v>#VALUE!</v>
      </c>
    </row>
    <row r="128" spans="1:19" s="1" customFormat="1" ht="15.75">
      <c r="A128">
        <v>127</v>
      </c>
      <c r="B128" s="4" t="s">
        <v>269</v>
      </c>
      <c r="C128" s="4" t="s">
        <v>84</v>
      </c>
      <c r="D128" s="12" t="s">
        <v>420</v>
      </c>
      <c r="E128" s="4" t="s">
        <v>603</v>
      </c>
      <c r="F128" s="4" t="str">
        <f t="shared" si="16"/>
        <v>Viên</v>
      </c>
      <c r="G128" s="12" t="s">
        <v>421</v>
      </c>
      <c r="H128" s="11">
        <v>87000</v>
      </c>
      <c r="I128" s="11">
        <v>84000</v>
      </c>
      <c r="J128" s="4">
        <v>2</v>
      </c>
      <c r="K128" s="11">
        <v>870</v>
      </c>
      <c r="L128" s="11">
        <v>87000</v>
      </c>
      <c r="M128" s="5" t="s">
        <v>462</v>
      </c>
      <c r="N128" s="32">
        <v>46390</v>
      </c>
      <c r="O128" s="4" t="s">
        <v>592</v>
      </c>
      <c r="P128" s="30">
        <f t="shared" si="17"/>
        <v>168000</v>
      </c>
      <c r="Q128" s="9" t="str">
        <f t="shared" si="18"/>
        <v>2027-01-03</v>
      </c>
      <c r="R128" t="str">
        <f t="shared" si="19"/>
        <v>INSERT INTO `nhathuoc_bsphong`.`dm_thuoc` (`ma_thuoc`, `ten_thuoc`, `hoat_chat`, `don_vi_chan`, `he_so`, `don_vi_le`, `nhom_thuoc`, `gia_nhap`, `gia_ban`) VALUES ('127', 'Kim tiền thảo H/100v', 'Cao Kim tiền thảo 200, Cao Râu mèo 100', 'Hộp', '1', ' Viên ', '  Tiết niệu ', '870', '870');</v>
      </c>
      <c r="S128" t="str">
        <f t="shared" ref="S128:S133" si="30">"INSERT INTO `nhathuoc_bsphong`.`tbl_nk_ct` (`ma_phieu_nhap`, `ma_thuoc`, `ten_thuoc`, `lsx`, `don_vi_le`, `so_luong`, `don_gia`, `thanh_tien`, `hsd`) VALUES ('NK001', '" &amp; A128 &amp; "', '', '" &amp; M128 &amp; "', 'donvi', '"&amp; J128 &amp;"', '0', '0', '"&amp; Q128 &amp;"');"</f>
        <v>INSERT INTO `nhathuoc_bsphong`.`tbl_nk_ct` (`ma_phieu_nhap`, `ma_thuoc`, `ten_thuoc`, `lsx`, `don_vi_le`, `so_luong`, `don_gia`, `thanh_tien`, `hsd`) VALUES ('NK001', '127', '', '060324', 'donvi', '2', '0', '0', '2027-01-03');</v>
      </c>
    </row>
    <row r="129" spans="1:19" ht="15.75">
      <c r="A129">
        <v>128</v>
      </c>
      <c r="B129" s="4" t="s">
        <v>269</v>
      </c>
      <c r="C129" s="4" t="s">
        <v>48</v>
      </c>
      <c r="D129" s="12" t="s">
        <v>538</v>
      </c>
      <c r="E129" s="4" t="s">
        <v>603</v>
      </c>
      <c r="F129" s="4" t="str">
        <f t="shared" si="16"/>
        <v>Viên</v>
      </c>
      <c r="G129" s="12" t="s">
        <v>539</v>
      </c>
      <c r="H129" s="11"/>
      <c r="I129" s="11">
        <v>210000</v>
      </c>
      <c r="J129" s="4">
        <v>1</v>
      </c>
      <c r="K129" s="11">
        <v>2500</v>
      </c>
      <c r="L129" s="11">
        <v>250000</v>
      </c>
      <c r="M129" s="5" t="s">
        <v>576</v>
      </c>
      <c r="N129" s="32">
        <v>47456</v>
      </c>
      <c r="O129" s="4" t="s">
        <v>590</v>
      </c>
      <c r="P129" s="30">
        <f t="shared" si="17"/>
        <v>210000</v>
      </c>
      <c r="Q129" s="9" t="str">
        <f t="shared" si="18"/>
        <v>2029-12-04</v>
      </c>
      <c r="R129" t="str">
        <f t="shared" si="19"/>
        <v>INSERT INTO `nhathuoc_bsphong`.`dm_thuoc` (`ma_thuoc`, `ten_thuoc`, `hoat_chat`, `don_vi_chan`, `he_so`, `don_vi_le`, `nhom_thuoc`, `gia_nhap`, `gia_ban`) VALUES ('128', 'Meyerflavo 200 H/100v', 'Flavoxat 200 mg', 'Hộp', '1', ' Viên ', '  Tiết niệu ', '2500', '2500');</v>
      </c>
      <c r="S129" t="str">
        <f t="shared" si="30"/>
        <v>INSERT INTO `nhathuoc_bsphong`.`tbl_nk_ct` (`ma_phieu_nhap`, `ma_thuoc`, `ten_thuoc`, `lsx`, `don_vi_le`, `so_luong`, `don_gia`, `thanh_tien`, `hsd`) VALUES ('NK001', '128', '', '0200', 'donvi', '1', '0', '0', '2029-12-04');</v>
      </c>
    </row>
    <row r="130" spans="1:19" ht="15.75">
      <c r="A130">
        <v>129</v>
      </c>
      <c r="B130" s="4" t="s">
        <v>11</v>
      </c>
      <c r="C130" s="4" t="s">
        <v>107</v>
      </c>
      <c r="D130" s="12" t="s">
        <v>199</v>
      </c>
      <c r="E130" s="4" t="s">
        <v>603</v>
      </c>
      <c r="F130" s="4" t="str">
        <f t="shared" si="16"/>
        <v/>
      </c>
      <c r="G130" s="12" t="s">
        <v>343</v>
      </c>
      <c r="H130" s="11">
        <v>122000</v>
      </c>
      <c r="I130" s="11">
        <v>118000</v>
      </c>
      <c r="J130" s="4">
        <v>3</v>
      </c>
      <c r="K130" s="11">
        <v>4700</v>
      </c>
      <c r="L130" s="11">
        <v>122200</v>
      </c>
      <c r="M130" s="4">
        <v>528777</v>
      </c>
      <c r="N130" s="32">
        <v>47099</v>
      </c>
      <c r="O130" s="4" t="s">
        <v>590</v>
      </c>
      <c r="P130" s="30">
        <f t="shared" si="17"/>
        <v>354000</v>
      </c>
      <c r="Q130" s="9" t="str">
        <f t="shared" si="18"/>
        <v>2028-12-12</v>
      </c>
      <c r="R130" t="str">
        <f t="shared" si="19"/>
        <v>INSERT INTO `nhathuoc_bsphong`.`dm_thuoc` (`ma_thuoc`, `ten_thuoc`, `hoat_chat`, `don_vi_chan`, `he_so`, `don_vi_le`, `nhom_thuoc`, `gia_nhap`, `gia_ban`) VALUES ('129', 'Phosphalugel H/26 gói', 'Aluminum phosphat 20%', 'Hộp', '1', '  ', '  Tiêu hoá ', '4700', '4700');</v>
      </c>
      <c r="S130" t="str">
        <f t="shared" si="30"/>
        <v>INSERT INTO `nhathuoc_bsphong`.`tbl_nk_ct` (`ma_phieu_nhap`, `ma_thuoc`, `ten_thuoc`, `lsx`, `don_vi_le`, `so_luong`, `don_gia`, `thanh_tien`, `hsd`) VALUES ('NK001', '129', '', '528777', 'donvi', '3', '0', '0', '2028-12-12');</v>
      </c>
    </row>
    <row r="131" spans="1:19" ht="15.75">
      <c r="A131">
        <v>130</v>
      </c>
      <c r="B131" s="4" t="s">
        <v>11</v>
      </c>
      <c r="C131" s="4" t="s">
        <v>540</v>
      </c>
      <c r="D131" s="12" t="s">
        <v>541</v>
      </c>
      <c r="E131" s="4" t="s">
        <v>603</v>
      </c>
      <c r="F131" s="4" t="str">
        <f t="shared" ref="F131:F185" si="31">IF(RIGHT(D131,1)="v","Viên","")</f>
        <v/>
      </c>
      <c r="G131" s="12" t="s">
        <v>542</v>
      </c>
      <c r="H131" s="11">
        <v>192000</v>
      </c>
      <c r="I131" s="11">
        <v>180000</v>
      </c>
      <c r="J131" s="4">
        <v>3</v>
      </c>
      <c r="K131" s="11">
        <v>8000</v>
      </c>
      <c r="L131" s="11">
        <v>192000</v>
      </c>
      <c r="M131" s="4" t="s">
        <v>577</v>
      </c>
      <c r="N131" s="32" t="s">
        <v>578</v>
      </c>
      <c r="O131" s="4" t="s">
        <v>590</v>
      </c>
      <c r="P131" s="30">
        <f t="shared" ref="P131:P185" si="32">I131*J131</f>
        <v>540000</v>
      </c>
      <c r="Q131" s="9" t="str">
        <f t="shared" ref="Q131:Q185" si="33">IF(ISNUMBER(N131),TEXT(N131,"yyyy-mm-dd"),TEXT(DATE(RIGHT(N131,4),MID(N131,FIND("/",N131)+1,FIND("/",N131,FIND("/",N131)+1)-FIND("/",N131)-1),LEFT(N131,FIND("/",N131)-1)),"yyyy-mm-dd"))</f>
        <v>2027-10-26</v>
      </c>
      <c r="R131" t="str">
        <f t="shared" ref="R131:R185" si="34">"INSERT INTO `nhathuoc_bsphong`.`dm_thuoc` (`ma_thuoc`, `ten_thuoc`, `hoat_chat`, `don_vi_chan`, `he_so`, `don_vi_le`, `nhom_thuoc`, `gia_nhap`, `gia_ban`) VALUES ('" &amp; A131 &amp; "', '" &amp; D131 &amp; "', '" &amp; C131 &amp; "', '" &amp; E131 &amp; "', '1', ' " &amp; F131 &amp; " ', '  " &amp; B131 &amp; " ', '" &amp; K131 &amp; "', '" &amp; K131 &amp; "');"</f>
        <v>INSERT INTO `nhathuoc_bsphong`.`dm_thuoc` (`ma_thuoc`, `ten_thuoc`, `hoat_chat`, `don_vi_chan`, `he_so`, `don_vi_le`, `nhom_thuoc`, `gia_nhap`, `gia_ban`) VALUES ('130', 'Gaviscon H/24 gói', 'Natri alginate 500mg, Natri bicarbonate 257mg, Calci carbonate 160mg', 'Hộp', '1', '  ', '  Tiêu hoá ', '8000', '8000');</v>
      </c>
      <c r="S131" t="str">
        <f t="shared" si="30"/>
        <v>INSERT INTO `nhathuoc_bsphong`.`tbl_nk_ct` (`ma_phieu_nhap`, `ma_thuoc`, `ten_thuoc`, `lsx`, `don_vi_le`, `so_luong`, `don_gia`, `thanh_tien`, `hsd`) VALUES ('NK001', '130', '', 'AHN677', 'donvi', '3', '0', '0', '2027-10-26');</v>
      </c>
    </row>
    <row r="132" spans="1:19" ht="15.75">
      <c r="A132">
        <v>131</v>
      </c>
      <c r="B132" s="4" t="s">
        <v>11</v>
      </c>
      <c r="C132" s="4" t="s">
        <v>543</v>
      </c>
      <c r="D132" s="12" t="s">
        <v>544</v>
      </c>
      <c r="E132" s="4" t="s">
        <v>603</v>
      </c>
      <c r="F132" s="4" t="str">
        <f t="shared" si="31"/>
        <v>Viên</v>
      </c>
      <c r="G132" s="12" t="s">
        <v>545</v>
      </c>
      <c r="H132" s="21">
        <v>178500</v>
      </c>
      <c r="I132" s="11">
        <v>170000</v>
      </c>
      <c r="J132" s="4">
        <v>1</v>
      </c>
      <c r="K132" s="11">
        <v>1785</v>
      </c>
      <c r="L132" s="11">
        <v>178500</v>
      </c>
      <c r="M132" s="29" t="s">
        <v>579</v>
      </c>
      <c r="N132" s="32">
        <v>47151</v>
      </c>
      <c r="O132" s="4" t="s">
        <v>590</v>
      </c>
      <c r="P132" s="30">
        <f t="shared" si="32"/>
        <v>170000</v>
      </c>
      <c r="Q132" s="9" t="str">
        <f t="shared" si="33"/>
        <v>2029-02-02</v>
      </c>
      <c r="R132" t="str">
        <f t="shared" si="34"/>
        <v>INSERT INTO `nhathuoc_bsphong`.`dm_thuoc` (`ma_thuoc`, `ten_thuoc`, `hoat_chat`, `don_vi_chan`, `he_so`, `don_vi_le`, `nhom_thuoc`, `gia_nhap`, `gia_ban`) VALUES ('131', 'Biosubtyl-II H/100v', 'Probiotic', 'Hộp', '1', ' Viên ', '  Tiêu hoá ', '1785', '1785');</v>
      </c>
      <c r="S132" t="str">
        <f t="shared" si="30"/>
        <v>INSERT INTO `nhathuoc_bsphong`.`tbl_nk_ct` (`ma_phieu_nhap`, `ma_thuoc`, `ten_thuoc`, `lsx`, `don_vi_le`, `so_luong`, `don_gia`, `thanh_tien`, `hsd`) VALUES ('NK001', '131', '', '11-26', 'donvi', '1', '0', '0', '2029-02-02');</v>
      </c>
    </row>
    <row r="133" spans="1:19" ht="15.75">
      <c r="A133">
        <v>132</v>
      </c>
      <c r="B133" s="4" t="s">
        <v>11</v>
      </c>
      <c r="C133" s="4" t="s">
        <v>422</v>
      </c>
      <c r="D133" s="12" t="s">
        <v>423</v>
      </c>
      <c r="E133" s="4" t="s">
        <v>603</v>
      </c>
      <c r="F133" s="4" t="str">
        <f t="shared" si="31"/>
        <v>Viên</v>
      </c>
      <c r="G133" s="12" t="s">
        <v>424</v>
      </c>
      <c r="H133" s="11">
        <v>346000</v>
      </c>
      <c r="I133" s="11">
        <v>343000</v>
      </c>
      <c r="J133" s="4">
        <v>1</v>
      </c>
      <c r="K133" s="11">
        <v>3089</v>
      </c>
      <c r="L133" s="11">
        <v>346000</v>
      </c>
      <c r="M133" s="4" t="s">
        <v>463</v>
      </c>
      <c r="N133" s="32" t="s">
        <v>492</v>
      </c>
      <c r="O133" s="4" t="s">
        <v>592</v>
      </c>
      <c r="P133" s="30">
        <f t="shared" si="32"/>
        <v>343000</v>
      </c>
      <c r="Q133" s="9" t="str">
        <f t="shared" si="33"/>
        <v>2027-06-23</v>
      </c>
      <c r="R133" t="str">
        <f t="shared" si="34"/>
        <v>INSERT INTO `nhathuoc_bsphong`.`dm_thuoc` (`ma_thuoc`, `ten_thuoc`, `hoat_chat`, `don_vi_chan`, `he_so`, `don_vi_le`, `nhom_thuoc`, `gia_nhap`, `gia_ban`) VALUES ('132', 'Trymo H/112v', 'Bismuth subcitrate 120mg', 'Hộp', '1', ' Viên ', '  Tiêu hoá ', '3089', '3089');</v>
      </c>
      <c r="S133" t="str">
        <f t="shared" si="30"/>
        <v>INSERT INTO `nhathuoc_bsphong`.`tbl_nk_ct` (`ma_phieu_nhap`, `ma_thuoc`, `ten_thuoc`, `lsx`, `don_vi_le`, `so_luong`, `don_gia`, `thanh_tien`, `hsd`) VALUES ('NK001', '132', '', 'VN-19522-15', 'donvi', '1', '0', '0', '2027-06-23');</v>
      </c>
    </row>
    <row r="134" spans="1:19" ht="15.75">
      <c r="A134">
        <v>133</v>
      </c>
      <c r="B134" s="4" t="s">
        <v>11</v>
      </c>
      <c r="C134" s="4" t="s">
        <v>115</v>
      </c>
      <c r="D134" s="12" t="s">
        <v>205</v>
      </c>
      <c r="E134" s="4" t="s">
        <v>603</v>
      </c>
      <c r="F134" s="4" t="str">
        <f t="shared" si="31"/>
        <v/>
      </c>
      <c r="G134" s="12" t="s">
        <v>546</v>
      </c>
      <c r="H134" s="11">
        <v>153000</v>
      </c>
      <c r="I134" s="11">
        <v>145000</v>
      </c>
      <c r="J134" s="4">
        <v>2</v>
      </c>
      <c r="K134" s="11">
        <v>5100</v>
      </c>
      <c r="L134" s="11">
        <v>153000</v>
      </c>
      <c r="M134" s="4" t="s">
        <v>580</v>
      </c>
      <c r="N134" s="32" t="s">
        <v>581</v>
      </c>
      <c r="O134" s="4" t="s">
        <v>590</v>
      </c>
      <c r="P134" s="30">
        <f t="shared" si="32"/>
        <v>290000</v>
      </c>
      <c r="Q134" s="9" t="e">
        <f t="shared" si="33"/>
        <v>#VALUE!</v>
      </c>
      <c r="R134" t="str">
        <f t="shared" si="34"/>
        <v>INSERT INTO `nhathuoc_bsphong`.`dm_thuoc` (`ma_thuoc`, `ten_thuoc`, `hoat_chat`, `don_vi_chan`, `he_so`, `don_vi_le`, `nhom_thuoc`, `gia_nhap`, `gia_ban`) VALUES ('133', 'Smecta H/30 gói', 'Diosmectite 3g', 'Hộp', '1', '  ', '  Tiêu hoá ', '5100', '5100');</v>
      </c>
      <c r="S134" t="e">
        <f t="shared" ref="S131:S185" si="35">"INSERT INTO tbl_nk_ct (`ma_phieu_nhap`, `ma_thuoc`, `ten_thuoc`, `lsx`, `don_vi`, `so_luong`, `don_gia`, `hsd`) VALUES ('NK001', '" &amp; A134 &amp; "', '" &amp; D134 &amp; "','"&amp; M134 &amp;"', '"&amp; F134 &amp;"', '"&amp; J134 &amp;"', '" &amp; K134 &amp; "', '" &amp; Q134 &amp; "');"</f>
        <v>#VALUE!</v>
      </c>
    </row>
    <row r="135" spans="1:19" ht="15.75">
      <c r="A135">
        <v>134</v>
      </c>
      <c r="B135" s="4" t="s">
        <v>11</v>
      </c>
      <c r="C135" s="4" t="s">
        <v>98</v>
      </c>
      <c r="D135" s="12" t="s">
        <v>547</v>
      </c>
      <c r="E135" s="4" t="s">
        <v>603</v>
      </c>
      <c r="F135" s="4" t="str">
        <f t="shared" si="31"/>
        <v>Viên</v>
      </c>
      <c r="G135" s="12" t="s">
        <v>506</v>
      </c>
      <c r="H135" s="11">
        <v>146500</v>
      </c>
      <c r="I135" s="11">
        <v>120000</v>
      </c>
      <c r="J135" s="4">
        <v>1</v>
      </c>
      <c r="K135" s="11">
        <v>1500</v>
      </c>
      <c r="L135" s="11">
        <v>146500</v>
      </c>
      <c r="M135" s="4">
        <v>111214</v>
      </c>
      <c r="N135" s="32">
        <v>46760</v>
      </c>
      <c r="O135" s="4" t="s">
        <v>590</v>
      </c>
      <c r="P135" s="30">
        <f t="shared" si="32"/>
        <v>120000</v>
      </c>
      <c r="Q135" s="9" t="str">
        <f t="shared" si="33"/>
        <v>2028-01-08</v>
      </c>
      <c r="R135" t="str">
        <f t="shared" si="34"/>
        <v>INSERT INTO `nhathuoc_bsphong`.`dm_thuoc` (`ma_thuoc`, `ten_thuoc`, `hoat_chat`, `don_vi_chan`, `he_so`, `don_vi_le`, `nhom_thuoc`, `gia_nhap`, `gia_ban`) VALUES ('134', 'Domreme 10 H/100v', 'Domperidon 10mg', 'Hộp', '1', ' Viên ', '  Tiêu hoá ', '1500', '1500');</v>
      </c>
      <c r="S135" t="str">
        <f t="shared" ref="S135:S139" si="36">"INSERT INTO `nhathuoc_bsphong`.`tbl_nk_ct` (`ma_phieu_nhap`, `ma_thuoc`, `ten_thuoc`, `lsx`, `don_vi_le`, `so_luong`, `don_gia`, `thanh_tien`, `hsd`) VALUES ('NK001', '" &amp; A135 &amp; "', '', '" &amp; M135 &amp; "', 'donvi', '"&amp; J135 &amp;"', '0', '0', '"&amp; Q135 &amp;"');"</f>
        <v>INSERT INTO `nhathuoc_bsphong`.`tbl_nk_ct` (`ma_phieu_nhap`, `ma_thuoc`, `ten_thuoc`, `lsx`, `don_vi_le`, `so_luong`, `don_gia`, `thanh_tien`, `hsd`) VALUES ('NK001', '134', '', '111214', 'donvi', '1', '0', '0', '2028-01-08');</v>
      </c>
    </row>
    <row r="136" spans="1:19" ht="15.75">
      <c r="A136">
        <v>135</v>
      </c>
      <c r="B136" s="4" t="s">
        <v>11</v>
      </c>
      <c r="C136" s="4" t="s">
        <v>104</v>
      </c>
      <c r="D136" s="12" t="s">
        <v>197</v>
      </c>
      <c r="E136" s="4" t="s">
        <v>603</v>
      </c>
      <c r="F136" s="4" t="str">
        <f t="shared" si="31"/>
        <v>Viên</v>
      </c>
      <c r="G136" s="12" t="s">
        <v>343</v>
      </c>
      <c r="H136" s="11">
        <v>26000</v>
      </c>
      <c r="I136" s="11">
        <v>26000</v>
      </c>
      <c r="J136" s="4">
        <v>5</v>
      </c>
      <c r="K136" s="11">
        <f>L136/20</f>
        <v>1400</v>
      </c>
      <c r="L136" s="11">
        <v>28000</v>
      </c>
      <c r="M136" s="4" t="s">
        <v>582</v>
      </c>
      <c r="N136" s="32">
        <v>47119</v>
      </c>
      <c r="O136" s="4" t="s">
        <v>590</v>
      </c>
      <c r="P136" s="30">
        <f t="shared" si="32"/>
        <v>130000</v>
      </c>
      <c r="Q136" s="9" t="str">
        <f t="shared" si="33"/>
        <v>2029-01-01</v>
      </c>
      <c r="R136" t="str">
        <f t="shared" si="34"/>
        <v>INSERT INTO `nhathuoc_bsphong`.`dm_thuoc` (`ma_thuoc`, `ten_thuoc`, `hoat_chat`, `don_vi_chan`, `he_so`, `don_vi_le`, `nhom_thuoc`, `gia_nhap`, `gia_ban`) VALUES ('135', 'No-spa 80 forte H/20v', 'Drotaverin 80mg', 'Hộp', '1', ' Viên ', '  Tiêu hoá ', '1400', '1400');</v>
      </c>
      <c r="S136" t="str">
        <f t="shared" si="36"/>
        <v>INSERT INTO `nhathuoc_bsphong`.`tbl_nk_ct` (`ma_phieu_nhap`, `ma_thuoc`, `ten_thuoc`, `lsx`, `don_vi_le`, `so_luong`, `don_gia`, `thanh_tien`, `hsd`) VALUES ('NK001', '135', '', 'KV003', 'donvi', '5', '0', '0', '2029-01-01');</v>
      </c>
    </row>
    <row r="137" spans="1:19" ht="15.75">
      <c r="A137">
        <v>136</v>
      </c>
      <c r="B137" s="4" t="s">
        <v>11</v>
      </c>
      <c r="C137" s="4" t="s">
        <v>37</v>
      </c>
      <c r="D137" s="12" t="s">
        <v>388</v>
      </c>
      <c r="E137" s="4" t="s">
        <v>603</v>
      </c>
      <c r="F137" s="4" t="str">
        <f t="shared" si="31"/>
        <v>Viên</v>
      </c>
      <c r="G137" s="12" t="s">
        <v>335</v>
      </c>
      <c r="H137" s="11">
        <v>245000</v>
      </c>
      <c r="I137" s="11">
        <v>225000</v>
      </c>
      <c r="J137" s="4">
        <v>2</v>
      </c>
      <c r="K137" s="11">
        <v>3500</v>
      </c>
      <c r="L137" s="11">
        <v>245000</v>
      </c>
      <c r="M137" s="4">
        <v>441125</v>
      </c>
      <c r="N137" s="32" t="s">
        <v>493</v>
      </c>
      <c r="O137" s="13">
        <v>46272</v>
      </c>
      <c r="P137" s="30">
        <f t="shared" si="32"/>
        <v>450000</v>
      </c>
      <c r="Q137" s="9" t="str">
        <f t="shared" si="33"/>
        <v>2028-11-24</v>
      </c>
      <c r="R137" t="str">
        <f t="shared" si="34"/>
        <v>INSERT INTO `nhathuoc_bsphong`.`dm_thuoc` (`ma_thuoc`, `ten_thuoc`, `hoat_chat`, `don_vi_chan`, `he_so`, `don_vi_le`, `nhom_thuoc`, `gia_nhap`, `gia_ban`) VALUES ('136', 'Stadnex Stella 20mg H/20V', 'Esomeprazol 20mg', 'Hộp', '1', ' Viên ', '  Tiêu hoá ', '3500', '3500');</v>
      </c>
      <c r="S137" t="str">
        <f t="shared" si="36"/>
        <v>INSERT INTO `nhathuoc_bsphong`.`tbl_nk_ct` (`ma_phieu_nhap`, `ma_thuoc`, `ten_thuoc`, `lsx`, `don_vi_le`, `so_luong`, `don_gia`, `thanh_tien`, `hsd`) VALUES ('NK001', '136', '', '441125', 'donvi', '2', '0', '0', '2028-11-24');</v>
      </c>
    </row>
    <row r="138" spans="1:19" ht="15.75">
      <c r="A138">
        <v>137</v>
      </c>
      <c r="B138" s="4" t="s">
        <v>11</v>
      </c>
      <c r="C138" s="4" t="s">
        <v>37</v>
      </c>
      <c r="D138" s="12" t="s">
        <v>253</v>
      </c>
      <c r="E138" s="4" t="s">
        <v>603</v>
      </c>
      <c r="F138" s="4" t="str">
        <f t="shared" si="31"/>
        <v>Viên</v>
      </c>
      <c r="G138" s="12" t="s">
        <v>328</v>
      </c>
      <c r="H138" s="11">
        <v>337000</v>
      </c>
      <c r="I138" s="11">
        <v>336500</v>
      </c>
      <c r="J138" s="4">
        <v>3</v>
      </c>
      <c r="K138" s="11">
        <v>24071.428571428572</v>
      </c>
      <c r="L138" s="11">
        <v>337000</v>
      </c>
      <c r="M138" s="4" t="s">
        <v>464</v>
      </c>
      <c r="N138" s="32">
        <v>46845</v>
      </c>
      <c r="O138" s="13">
        <v>46272</v>
      </c>
      <c r="P138" s="30">
        <f t="shared" si="32"/>
        <v>1009500</v>
      </c>
      <c r="Q138" s="9" t="str">
        <f t="shared" si="33"/>
        <v>2028-04-02</v>
      </c>
      <c r="R138" t="str">
        <f t="shared" si="34"/>
        <v>INSERT INTO `nhathuoc_bsphong`.`dm_thuoc` (`ma_thuoc`, `ten_thuoc`, `hoat_chat`, `don_vi_chan`, `he_so`, `don_vi_le`, `nhom_thuoc`, `gia_nhap`, `gia_ban`) VALUES ('137', 'Nexium Mups 20mg H/14V', 'Esomeprazol 20mg', 'Hộp', '1', ' Viên ', '  Tiêu hoá ', '24071.4285714286', '24071.4285714286');</v>
      </c>
      <c r="S138" t="str">
        <f t="shared" si="36"/>
        <v>INSERT INTO `nhathuoc_bsphong`.`tbl_nk_ct` (`ma_phieu_nhap`, `ma_thuoc`, `ten_thuoc`, `lsx`, `don_vi_le`, `so_luong`, `don_gia`, `thanh_tien`, `hsd`) VALUES ('NK001', '137', '', 'ZRVH', 'donvi', '3', '0', '0', '2028-04-02');</v>
      </c>
    </row>
    <row r="139" spans="1:19" ht="15.75">
      <c r="A139">
        <v>138</v>
      </c>
      <c r="B139" s="4" t="s">
        <v>11</v>
      </c>
      <c r="C139" s="4" t="s">
        <v>102</v>
      </c>
      <c r="D139" s="12" t="s">
        <v>425</v>
      </c>
      <c r="E139" s="4" t="s">
        <v>603</v>
      </c>
      <c r="F139" s="4" t="str">
        <f t="shared" si="31"/>
        <v>Viên</v>
      </c>
      <c r="G139" s="12" t="s">
        <v>368</v>
      </c>
      <c r="H139" s="11">
        <v>135000</v>
      </c>
      <c r="I139" s="21">
        <v>90000</v>
      </c>
      <c r="J139" s="6">
        <v>3</v>
      </c>
      <c r="K139" s="11">
        <v>4500</v>
      </c>
      <c r="L139" s="11">
        <v>135000</v>
      </c>
      <c r="M139" s="6">
        <v>140126</v>
      </c>
      <c r="N139" s="33">
        <v>47088</v>
      </c>
      <c r="O139" s="4" t="s">
        <v>592</v>
      </c>
      <c r="P139" s="30">
        <f t="shared" si="32"/>
        <v>270000</v>
      </c>
      <c r="Q139" s="9" t="str">
        <f t="shared" si="33"/>
        <v>2028-12-01</v>
      </c>
      <c r="R139" t="str">
        <f t="shared" si="34"/>
        <v>INSERT INTO `nhathuoc_bsphong`.`dm_thuoc` (`ma_thuoc`, `ten_thuoc`, `hoat_chat`, `don_vi_chan`, `he_so`, `don_vi_le`, `nhom_thuoc`, `gia_nhap`, `gia_ban`) VALUES ('138', 'Haxium 40 H/30v', 'Esomeprazol 40mg', 'Hộp', '1', ' Viên ', '  Tiêu hoá ', '4500', '4500');</v>
      </c>
      <c r="S139" t="str">
        <f t="shared" si="36"/>
        <v>INSERT INTO `nhathuoc_bsphong`.`tbl_nk_ct` (`ma_phieu_nhap`, `ma_thuoc`, `ten_thuoc`, `lsx`, `don_vi_le`, `so_luong`, `don_gia`, `thanh_tien`, `hsd`) VALUES ('NK001', '138', '', '140126', 'donvi', '3', '0', '0', '2028-12-01');</v>
      </c>
    </row>
    <row r="140" spans="1:19" ht="15.75">
      <c r="A140">
        <v>139</v>
      </c>
      <c r="B140" s="4" t="s">
        <v>11</v>
      </c>
      <c r="C140" s="4" t="s">
        <v>102</v>
      </c>
      <c r="D140" s="12" t="s">
        <v>251</v>
      </c>
      <c r="E140" s="4" t="s">
        <v>603</v>
      </c>
      <c r="F140" s="4" t="str">
        <f t="shared" si="31"/>
        <v>Viên</v>
      </c>
      <c r="G140" s="12"/>
      <c r="H140" s="21"/>
      <c r="I140" s="11"/>
      <c r="J140" s="4"/>
      <c r="K140">
        <v>0</v>
      </c>
      <c r="L140" s="11"/>
      <c r="M140" s="4"/>
      <c r="N140" s="32"/>
      <c r="O140" s="4"/>
      <c r="P140" s="30">
        <f t="shared" si="32"/>
        <v>0</v>
      </c>
      <c r="Q140" s="9" t="e">
        <f t="shared" si="33"/>
        <v>#VALUE!</v>
      </c>
      <c r="R140" t="str">
        <f t="shared" si="34"/>
        <v>INSERT INTO `nhathuoc_bsphong`.`dm_thuoc` (`ma_thuoc`, `ten_thuoc`, `hoat_chat`, `don_vi_chan`, `he_so`, `don_vi_le`, `nhom_thuoc`, `gia_nhap`, `gia_ban`) VALUES ('139', 'Nexium Mups 40mg H/14V', 'Esomeprazol 40mg', 'Hộp', '1', ' Viên ', '  Tiêu hoá ', '0', '0');</v>
      </c>
      <c r="S140" t="e">
        <f t="shared" si="35"/>
        <v>#VALUE!</v>
      </c>
    </row>
    <row r="141" spans="1:19" ht="15.75">
      <c r="A141">
        <v>140</v>
      </c>
      <c r="B141" s="4" t="s">
        <v>11</v>
      </c>
      <c r="C141" s="4" t="s">
        <v>64</v>
      </c>
      <c r="D141" s="12" t="s">
        <v>171</v>
      </c>
      <c r="E141" s="4" t="s">
        <v>603</v>
      </c>
      <c r="F141" s="4" t="str">
        <f t="shared" si="31"/>
        <v>Viên</v>
      </c>
      <c r="G141" s="12" t="s">
        <v>333</v>
      </c>
      <c r="H141" s="11">
        <v>116000</v>
      </c>
      <c r="I141" s="11">
        <v>106000</v>
      </c>
      <c r="J141" s="4">
        <v>3</v>
      </c>
      <c r="K141" s="11">
        <v>5800</v>
      </c>
      <c r="L141" s="11">
        <v>116000</v>
      </c>
      <c r="M141" s="4" t="s">
        <v>465</v>
      </c>
      <c r="N141" s="32" t="s">
        <v>494</v>
      </c>
      <c r="O141" s="4" t="s">
        <v>593</v>
      </c>
      <c r="P141" s="30">
        <f t="shared" si="32"/>
        <v>318000</v>
      </c>
      <c r="Q141" s="9" t="str">
        <f t="shared" si="33"/>
        <v>2026-01-29</v>
      </c>
      <c r="R141" t="str">
        <f t="shared" si="34"/>
        <v>INSERT INTO `nhathuoc_bsphong`.`dm_thuoc` (`ma_thuoc`, `ten_thuoc`, `hoat_chat`, `don_vi_chan`, `he_so`, `don_vi_le`, `nhom_thuoc`, `gia_nhap`, `gia_ban`) VALUES ('140', 'Elthon 50 H/20v', 'Itopride 50mg', 'Hộp', '1', ' Viên ', '  Tiêu hoá ', '5800', '5800');</v>
      </c>
      <c r="S141" t="str">
        <f t="shared" ref="S141:S145" si="37">"INSERT INTO `nhathuoc_bsphong`.`tbl_nk_ct` (`ma_phieu_nhap`, `ma_thuoc`, `ten_thuoc`, `lsx`, `don_vi_le`, `so_luong`, `don_gia`, `thanh_tien`, `hsd`) VALUES ('NK001', '" &amp; A141 &amp; "', '', '" &amp; M141 &amp; "', 'donvi', '"&amp; J141 &amp;"', '0', '0', '"&amp; Q141 &amp;"');"</f>
        <v>INSERT INTO `nhathuoc_bsphong`.`tbl_nk_ct` (`ma_phieu_nhap`, `ma_thuoc`, `ten_thuoc`, `lsx`, `don_vi_le`, `so_luong`, `don_gia`, `thanh_tien`, `hsd`) VALUES ('NK001', '140', '', '38895YQ', 'donvi', '3', '0', '0', '2026-01-29');</v>
      </c>
    </row>
    <row r="142" spans="1:19" ht="15.75">
      <c r="A142">
        <v>141</v>
      </c>
      <c r="B142" s="4" t="s">
        <v>11</v>
      </c>
      <c r="C142" s="4" t="s">
        <v>264</v>
      </c>
      <c r="D142" s="12" t="s">
        <v>548</v>
      </c>
      <c r="E142" s="4" t="s">
        <v>603</v>
      </c>
      <c r="F142" s="4" t="str">
        <f t="shared" si="31"/>
        <v/>
      </c>
      <c r="G142" s="12" t="s">
        <v>343</v>
      </c>
      <c r="H142" s="11">
        <v>184000</v>
      </c>
      <c r="I142" s="11">
        <v>165000</v>
      </c>
      <c r="J142" s="4">
        <v>2</v>
      </c>
      <c r="K142" s="11">
        <v>9200</v>
      </c>
      <c r="L142" s="11">
        <v>184000</v>
      </c>
      <c r="M142" s="4" t="s">
        <v>583</v>
      </c>
      <c r="N142" s="32">
        <v>46753</v>
      </c>
      <c r="O142" s="4" t="s">
        <v>590</v>
      </c>
      <c r="P142" s="30">
        <f t="shared" si="32"/>
        <v>330000</v>
      </c>
      <c r="Q142" s="9" t="str">
        <f t="shared" si="33"/>
        <v>2028-01-01</v>
      </c>
      <c r="R142" t="str">
        <f t="shared" si="34"/>
        <v>INSERT INTO `nhathuoc_bsphong`.`dm_thuoc` (`ma_thuoc`, `ten_thuoc`, `hoat_chat`, `don_vi_chan`, `he_so`, `don_vi_le`, `nhom_thuoc`, `gia_nhap`, `gia_ban`) VALUES ('141', 'Enterogemina', 'Lactobacillus acidophilus', 'Hộp', '1', '  ', '  Tiêu hoá ', '9200', '9200');</v>
      </c>
      <c r="S142" t="str">
        <f t="shared" si="37"/>
        <v>INSERT INTO `nhathuoc_bsphong`.`tbl_nk_ct` (`ma_phieu_nhap`, `ma_thuoc`, `ten_thuoc`, `lsx`, `don_vi_le`, `so_luong`, `don_gia`, `thanh_tien`, `hsd`) VALUES ('NK001', '141', '', '6I059', 'donvi', '2', '0', '0', '2028-01-01');</v>
      </c>
    </row>
    <row r="143" spans="1:19" ht="15.75">
      <c r="A143">
        <v>142</v>
      </c>
      <c r="B143" s="4" t="s">
        <v>11</v>
      </c>
      <c r="C143" s="4" t="s">
        <v>60</v>
      </c>
      <c r="D143" s="12" t="s">
        <v>167</v>
      </c>
      <c r="E143" s="4" t="s">
        <v>603</v>
      </c>
      <c r="F143" s="4" t="str">
        <f t="shared" si="31"/>
        <v/>
      </c>
      <c r="G143" s="12" t="s">
        <v>333</v>
      </c>
      <c r="H143" s="11">
        <v>155000</v>
      </c>
      <c r="I143" s="11">
        <v>145000</v>
      </c>
      <c r="J143" s="4">
        <v>3</v>
      </c>
      <c r="K143" s="11">
        <v>7750</v>
      </c>
      <c r="L143" s="11">
        <v>155000</v>
      </c>
      <c r="M143" s="4">
        <v>379534</v>
      </c>
      <c r="N143" s="32" t="s">
        <v>495</v>
      </c>
      <c r="O143" s="4" t="s">
        <v>593</v>
      </c>
      <c r="P143" s="30">
        <f t="shared" si="32"/>
        <v>435000</v>
      </c>
      <c r="Q143" s="9" t="str">
        <f t="shared" si="33"/>
        <v>2026-09-30</v>
      </c>
      <c r="R143" t="str">
        <f t="shared" si="34"/>
        <v>INSERT INTO `nhathuoc_bsphong`.`dm_thuoc` (`ma_thuoc`, `ten_thuoc`, `hoat_chat`, `don_vi_chan`, `he_so`, `don_vi_le`, `nhom_thuoc`, `gia_nhap`, `gia_ban`) VALUES ('142', 'Duphalac H/20g', 'Lactulose 667mg', 'Hộp', '1', '  ', '  Tiêu hoá ', '7750', '7750');</v>
      </c>
      <c r="S143" t="str">
        <f t="shared" si="37"/>
        <v>INSERT INTO `nhathuoc_bsphong`.`tbl_nk_ct` (`ma_phieu_nhap`, `ma_thuoc`, `ten_thuoc`, `lsx`, `don_vi_le`, `so_luong`, `don_gia`, `thanh_tien`, `hsd`) VALUES ('NK001', '142', '', '379534', 'donvi', '3', '0', '0', '2026-09-30');</v>
      </c>
    </row>
    <row r="144" spans="1:19" ht="15.75">
      <c r="A144">
        <v>143</v>
      </c>
      <c r="B144" s="4" t="s">
        <v>11</v>
      </c>
      <c r="C144" s="4" t="s">
        <v>72</v>
      </c>
      <c r="D144" s="12" t="s">
        <v>174</v>
      </c>
      <c r="E144" s="4" t="s">
        <v>603</v>
      </c>
      <c r="F144" s="4" t="str">
        <f t="shared" si="31"/>
        <v/>
      </c>
      <c r="G144" s="12" t="s">
        <v>546</v>
      </c>
      <c r="H144" s="11">
        <v>126000</v>
      </c>
      <c r="I144" s="11">
        <v>118000</v>
      </c>
      <c r="J144" s="4">
        <v>5</v>
      </c>
      <c r="K144" s="11">
        <v>6500</v>
      </c>
      <c r="L144" s="11">
        <v>130000</v>
      </c>
      <c r="M144" s="4" t="s">
        <v>584</v>
      </c>
      <c r="N144" s="32" t="s">
        <v>585</v>
      </c>
      <c r="O144" s="4" t="s">
        <v>590</v>
      </c>
      <c r="P144" s="30">
        <f t="shared" si="32"/>
        <v>590000</v>
      </c>
      <c r="Q144" s="9" t="str">
        <f t="shared" si="33"/>
        <v>2028-03-13</v>
      </c>
      <c r="R144" t="str">
        <f t="shared" si="34"/>
        <v>INSERT INTO `nhathuoc_bsphong`.`dm_thuoc` (`ma_thuoc`, `ten_thuoc`, `hoat_chat`, `don_vi_chan`, `he_so`, `don_vi_le`, `nhom_thuoc`, `gia_nhap`, `gia_ban`) VALUES ('143', 'Forlax H/20g', 'Macrogo 4000', 'Hộp', '1', '  ', '  Tiêu hoá ', '6500', '6500');</v>
      </c>
      <c r="S144" t="str">
        <f t="shared" si="37"/>
        <v>INSERT INTO `nhathuoc_bsphong`.`tbl_nk_ct` (`ma_phieu_nhap`, `ma_thuoc`, `ten_thuoc`, `lsx`, `don_vi_le`, `so_luong`, `don_gia`, `thanh_tien`, `hsd`) VALUES ('NK001', '143', '', 'D52734', 'donvi', '5', '0', '0', '2028-03-13');</v>
      </c>
    </row>
    <row r="145" spans="1:19" ht="15.75">
      <c r="A145">
        <v>144</v>
      </c>
      <c r="B145" s="4" t="s">
        <v>11</v>
      </c>
      <c r="C145" s="4" t="s">
        <v>61</v>
      </c>
      <c r="D145" s="12" t="s">
        <v>168</v>
      </c>
      <c r="E145" s="4" t="s">
        <v>603</v>
      </c>
      <c r="F145" s="4" t="str">
        <f t="shared" si="31"/>
        <v>Viên</v>
      </c>
      <c r="G145" s="12" t="s">
        <v>333</v>
      </c>
      <c r="H145" s="11">
        <v>224000</v>
      </c>
      <c r="I145" s="11">
        <v>210000</v>
      </c>
      <c r="J145" s="4">
        <v>3</v>
      </c>
      <c r="K145" s="11">
        <v>7466.666666666667</v>
      </c>
      <c r="L145" s="11">
        <v>224000</v>
      </c>
      <c r="M145" s="4">
        <v>722050</v>
      </c>
      <c r="N145" s="32">
        <v>46757</v>
      </c>
      <c r="O145" s="4" t="s">
        <v>595</v>
      </c>
      <c r="P145" s="30">
        <f t="shared" si="32"/>
        <v>630000</v>
      </c>
      <c r="Q145" s="9" t="str">
        <f t="shared" si="33"/>
        <v>2028-01-05</v>
      </c>
      <c r="R145" t="str">
        <f t="shared" si="34"/>
        <v>INSERT INTO `nhathuoc_bsphong`.`dm_thuoc` (`ma_thuoc`, `ten_thuoc`, `hoat_chat`, `don_vi_chan`, `he_so`, `don_vi_le`, `nhom_thuoc`, `gia_nhap`, `gia_ban`) VALUES ('144', 'Duspatalin Retard H/30v', 'Mebeverin 200mg', 'Hộp', '1', ' Viên ', '  Tiêu hoá ', '7466.66666666667', '7466.66666666667');</v>
      </c>
      <c r="S145" t="str">
        <f t="shared" si="37"/>
        <v>INSERT INTO `nhathuoc_bsphong`.`tbl_nk_ct` (`ma_phieu_nhap`, `ma_thuoc`, `ten_thuoc`, `lsx`, `don_vi_le`, `so_luong`, `don_gia`, `thanh_tien`, `hsd`) VALUES ('NK001', '144', '', '722050', 'donvi', '3', '0', '0', '2028-01-05');</v>
      </c>
    </row>
    <row r="146" spans="1:19" ht="15.75">
      <c r="A146">
        <v>145</v>
      </c>
      <c r="B146" s="4" t="s">
        <v>11</v>
      </c>
      <c r="C146" s="4" t="s">
        <v>106</v>
      </c>
      <c r="D146" s="12" t="s">
        <v>198</v>
      </c>
      <c r="E146" s="4" t="s">
        <v>603</v>
      </c>
      <c r="F146" s="4" t="str">
        <f t="shared" si="31"/>
        <v>Viên</v>
      </c>
      <c r="G146" s="12"/>
      <c r="H146" s="11"/>
      <c r="I146" s="11"/>
      <c r="J146" s="4"/>
      <c r="K146">
        <v>0</v>
      </c>
      <c r="L146" s="11"/>
      <c r="M146" s="4"/>
      <c r="N146" s="32"/>
      <c r="O146" s="4"/>
      <c r="P146" s="30">
        <f t="shared" si="32"/>
        <v>0</v>
      </c>
      <c r="Q146" s="9" t="e">
        <f t="shared" si="33"/>
        <v>#VALUE!</v>
      </c>
      <c r="R146" t="str">
        <f t="shared" si="34"/>
        <v>INSERT INTO `nhathuoc_bsphong`.`dm_thuoc` (`ma_thuoc`, `ten_thuoc`, `hoat_chat`, `don_vi_chan`, `he_so`, `don_vi_le`, `nhom_thuoc`, `gia_nhap`, `gia_ban`) VALUES ('145', 'Perimirane 10 H/40v', 'Metoclopramid 10mg', 'Hộp', '1', ' Viên ', '  Tiêu hoá ', '0', '0');</v>
      </c>
      <c r="S146" t="e">
        <f t="shared" si="35"/>
        <v>#VALUE!</v>
      </c>
    </row>
    <row r="147" spans="1:19" ht="17.100000000000001" customHeight="1">
      <c r="A147">
        <v>146</v>
      </c>
      <c r="B147" s="4" t="s">
        <v>11</v>
      </c>
      <c r="C147" s="4" t="s">
        <v>318</v>
      </c>
      <c r="D147" s="12" t="s">
        <v>320</v>
      </c>
      <c r="E147" s="4" t="s">
        <v>603</v>
      </c>
      <c r="F147" s="4" t="str">
        <f t="shared" si="31"/>
        <v>Viên</v>
      </c>
      <c r="G147" s="12" t="s">
        <v>337</v>
      </c>
      <c r="H147" s="11">
        <v>140000</v>
      </c>
      <c r="I147" s="11">
        <v>139500</v>
      </c>
      <c r="J147" s="4">
        <v>3</v>
      </c>
      <c r="K147" s="11">
        <v>20000</v>
      </c>
      <c r="L147" s="11">
        <v>140000</v>
      </c>
      <c r="M147" s="4">
        <v>570953</v>
      </c>
      <c r="N147" s="32">
        <v>46878</v>
      </c>
      <c r="O147" s="4" t="s">
        <v>595</v>
      </c>
      <c r="P147" s="30">
        <f t="shared" si="32"/>
        <v>418500</v>
      </c>
      <c r="Q147" s="9" t="str">
        <f t="shared" si="33"/>
        <v>2028-05-05</v>
      </c>
      <c r="R147" t="str">
        <f t="shared" si="34"/>
        <v>INSERT INTO `nhathuoc_bsphong`.`dm_thuoc` (`ma_thuoc`, `ten_thuoc`, `hoat_chat`, `don_vi_chan`, `he_so`, `don_vi_le`, `nhom_thuoc`, `gia_nhap`, `gia_ban`) VALUES ('146', 'Pantoloc 40mg H/7V', 'Pantoprazole 40 mg', 'Hộp', '1', ' Viên ', '  Tiêu hoá ', '20000', '20000');</v>
      </c>
      <c r="S147" t="str">
        <f>"INSERT INTO `nhathuoc_bsphong`.`tbl_nk_ct` (`ma_phieu_nhap`, `ma_thuoc`, `ten_thuoc`, `lsx`, `don_vi_le`, `so_luong`, `don_gia`, `thanh_tien`, `hsd`) VALUES ('NK001', '" &amp; A147 &amp; "', '', '" &amp; M147 &amp; "', 'donvi', '"&amp; J147 &amp;"', '0', '0', '"&amp; Q147 &amp;"');"</f>
        <v>INSERT INTO `nhathuoc_bsphong`.`tbl_nk_ct` (`ma_phieu_nhap`, `ma_thuoc`, `ten_thuoc`, `lsx`, `don_vi_le`, `so_luong`, `don_gia`, `thanh_tien`, `hsd`) VALUES ('NK001', '146', '', '570953', 'donvi', '3', '0', '0', '2028-05-05');</v>
      </c>
    </row>
    <row r="148" spans="1:19" ht="15.75">
      <c r="A148">
        <v>147</v>
      </c>
      <c r="B148" s="4" t="s">
        <v>11</v>
      </c>
      <c r="C148" s="4" t="s">
        <v>318</v>
      </c>
      <c r="D148" s="12" t="s">
        <v>319</v>
      </c>
      <c r="E148" s="4" t="s">
        <v>603</v>
      </c>
      <c r="F148" s="4" t="str">
        <f t="shared" si="31"/>
        <v>Viên</v>
      </c>
      <c r="G148" s="12"/>
      <c r="H148" s="11"/>
      <c r="I148" s="11"/>
      <c r="J148" s="4"/>
      <c r="K148">
        <v>0</v>
      </c>
      <c r="L148" s="11"/>
      <c r="M148" s="4"/>
      <c r="N148" s="32"/>
      <c r="O148" s="4"/>
      <c r="P148" s="30">
        <f t="shared" si="32"/>
        <v>0</v>
      </c>
      <c r="Q148" s="9" t="e">
        <f t="shared" si="33"/>
        <v>#VALUE!</v>
      </c>
      <c r="R148" t="str">
        <f t="shared" si="34"/>
        <v>INSERT INTO `nhathuoc_bsphong`.`dm_thuoc` (`ma_thuoc`, `ten_thuoc`, `hoat_chat`, `don_vi_chan`, `he_so`, `don_vi_le`, `nhom_thuoc`, `gia_nhap`, `gia_ban`) VALUES ('147', 'Pantostad 40 H/28V', 'Pantoprazole 40 mg', 'Hộp', '1', ' Viên ', '  Tiêu hoá ', '0', '0');</v>
      </c>
      <c r="S148" t="e">
        <f t="shared" si="35"/>
        <v>#VALUE!</v>
      </c>
    </row>
    <row r="149" spans="1:19" ht="15.75">
      <c r="A149">
        <v>148</v>
      </c>
      <c r="B149" s="4" t="s">
        <v>11</v>
      </c>
      <c r="C149" s="4" t="s">
        <v>85</v>
      </c>
      <c r="D149" s="12" t="s">
        <v>549</v>
      </c>
      <c r="E149" s="4" t="s">
        <v>603</v>
      </c>
      <c r="F149" s="4" t="str">
        <f t="shared" si="31"/>
        <v>Viên</v>
      </c>
      <c r="G149" s="12" t="s">
        <v>550</v>
      </c>
      <c r="H149" s="11">
        <v>360000</v>
      </c>
      <c r="I149" s="11">
        <v>380000</v>
      </c>
      <c r="J149" s="4">
        <v>3</v>
      </c>
      <c r="K149" s="11">
        <f>L149/60</f>
        <v>6500</v>
      </c>
      <c r="L149" s="11">
        <v>390000</v>
      </c>
      <c r="M149" s="4">
        <v>110326</v>
      </c>
      <c r="N149" s="32" t="s">
        <v>475</v>
      </c>
      <c r="O149" s="4" t="s">
        <v>590</v>
      </c>
      <c r="P149" s="30">
        <f t="shared" si="32"/>
        <v>1140000</v>
      </c>
      <c r="Q149" s="9" t="str">
        <f t="shared" si="33"/>
        <v>2029-03-31</v>
      </c>
      <c r="R149" t="str">
        <f t="shared" si="34"/>
        <v>INSERT INTO `nhathuoc_bsphong`.`dm_thuoc` (`ma_thuoc`, `ten_thuoc`, `hoat_chat`, `don_vi_chan`, `he_so`, `don_vi_le`, `nhom_thuoc`, `gia_nhap`, `gia_ban`) VALUES ('148', 'Silymax complex H/60v', 'Silymarin 70mg', 'Hộp', '1', ' Viên ', '  Tiêu hoá ', '6500', '6500');</v>
      </c>
      <c r="S149" t="str">
        <f t="shared" ref="S149:S154" si="38">"INSERT INTO `nhathuoc_bsphong`.`tbl_nk_ct` (`ma_phieu_nhap`, `ma_thuoc`, `ten_thuoc`, `lsx`, `don_vi_le`, `so_luong`, `don_gia`, `thanh_tien`, `hsd`) VALUES ('NK001', '" &amp; A149 &amp; "', '', '" &amp; M149 &amp; "', 'donvi', '"&amp; J149 &amp;"', '0', '0', '"&amp; Q149 &amp;"');"</f>
        <v>INSERT INTO `nhathuoc_bsphong`.`tbl_nk_ct` (`ma_phieu_nhap`, `ma_thuoc`, `ten_thuoc`, `lsx`, `don_vi_le`, `so_luong`, `don_gia`, `thanh_tien`, `hsd`) VALUES ('NK001', '148', '', '110326', 'donvi', '3', '0', '0', '2029-03-31');</v>
      </c>
    </row>
    <row r="150" spans="1:19" ht="15.75">
      <c r="A150">
        <v>149</v>
      </c>
      <c r="B150" s="4" t="s">
        <v>11</v>
      </c>
      <c r="C150" s="4" t="s">
        <v>551</v>
      </c>
      <c r="D150" s="4" t="s">
        <v>552</v>
      </c>
      <c r="E150" s="4" t="s">
        <v>603</v>
      </c>
      <c r="F150" s="4" t="str">
        <f t="shared" si="31"/>
        <v/>
      </c>
      <c r="G150" s="4" t="s">
        <v>342</v>
      </c>
      <c r="H150" s="11">
        <v>57000</v>
      </c>
      <c r="I150" s="11">
        <v>32000</v>
      </c>
      <c r="J150" s="4">
        <v>2</v>
      </c>
      <c r="K150" s="11">
        <v>570</v>
      </c>
      <c r="L150" s="11">
        <v>57000</v>
      </c>
      <c r="M150" s="5" t="s">
        <v>443</v>
      </c>
      <c r="N150" s="32" t="s">
        <v>586</v>
      </c>
      <c r="O150" s="4" t="s">
        <v>590</v>
      </c>
      <c r="P150" s="30">
        <f t="shared" si="32"/>
        <v>64000</v>
      </c>
      <c r="Q150" s="9" t="str">
        <f t="shared" si="33"/>
        <v>2029-01-30</v>
      </c>
      <c r="R150" t="str">
        <f t="shared" si="34"/>
        <v>INSERT INTO `nhathuoc_bsphong`.`dm_thuoc` (`ma_thuoc`, `ten_thuoc`, `hoat_chat`, `don_vi_chan`, `he_so`, `don_vi_le`, `nhom_thuoc`, `gia_nhap`, `gia_ban`) VALUES ('149', 'Mogastic 80 nhai H/100v ', 'Simethicon 80mg', 'Hộp', '1', '  ', '  Tiêu hoá ', '570', '570');</v>
      </c>
      <c r="S150" t="str">
        <f t="shared" si="38"/>
        <v>INSERT INTO `nhathuoc_bsphong`.`tbl_nk_ct` (`ma_phieu_nhap`, `ma_thuoc`, `ten_thuoc`, `lsx`, `don_vi_le`, `so_luong`, `don_gia`, `thanh_tien`, `hsd`) VALUES ('NK001', '149', '', '020126', 'donvi', '2', '0', '0', '2029-01-30');</v>
      </c>
    </row>
    <row r="151" spans="1:19" ht="15.75">
      <c r="A151">
        <v>150</v>
      </c>
      <c r="B151" s="4" t="s">
        <v>11</v>
      </c>
      <c r="C151" s="4" t="s">
        <v>117</v>
      </c>
      <c r="D151" s="12" t="s">
        <v>207</v>
      </c>
      <c r="E151" s="4" t="s">
        <v>603</v>
      </c>
      <c r="F151" s="4" t="str">
        <f t="shared" si="31"/>
        <v/>
      </c>
      <c r="G151" s="12" t="s">
        <v>334</v>
      </c>
      <c r="H151" s="11"/>
      <c r="I151" s="11">
        <v>17000</v>
      </c>
      <c r="J151" s="4">
        <v>3</v>
      </c>
      <c r="K151" s="11">
        <v>1000</v>
      </c>
      <c r="L151" s="11">
        <v>25000</v>
      </c>
      <c r="M151" s="4">
        <v>50326</v>
      </c>
      <c r="N151" s="32" t="s">
        <v>496</v>
      </c>
      <c r="O151" s="4" t="s">
        <v>593</v>
      </c>
      <c r="P151" s="30">
        <f t="shared" si="32"/>
        <v>51000</v>
      </c>
      <c r="Q151" s="9" t="str">
        <f t="shared" si="33"/>
        <v>2029-03-25</v>
      </c>
      <c r="R151" t="str">
        <f t="shared" si="34"/>
        <v>INSERT INTO `nhathuoc_bsphong`.`dm_thuoc` (`ma_thuoc`, `ten_thuoc`, `hoat_chat`, `don_vi_chan`, `he_so`, `don_vi_le`, `nhom_thuoc`, `gia_nhap`, `gia_ban`) VALUES ('150', 'Sorbitol 5g H/20g', 'Sorbitol 5g', 'Hộp', '1', '  ', '  Tiêu hoá ', '1000', '1000');</v>
      </c>
      <c r="S151" t="str">
        <f t="shared" si="38"/>
        <v>INSERT INTO `nhathuoc_bsphong`.`tbl_nk_ct` (`ma_phieu_nhap`, `ma_thuoc`, `ten_thuoc`, `lsx`, `don_vi_le`, `so_luong`, `don_gia`, `thanh_tien`, `hsd`) VALUES ('NK001', '150', '', '50326', 'donvi', '3', '0', '0', '2029-03-25');</v>
      </c>
    </row>
    <row r="152" spans="1:19" ht="15.75">
      <c r="A152">
        <v>151</v>
      </c>
      <c r="B152" s="4" t="s">
        <v>11</v>
      </c>
      <c r="C152" s="4" t="s">
        <v>305</v>
      </c>
      <c r="D152" s="12" t="s">
        <v>338</v>
      </c>
      <c r="E152" s="4" t="s">
        <v>603</v>
      </c>
      <c r="F152" s="4" t="str">
        <f t="shared" si="31"/>
        <v/>
      </c>
      <c r="G152" s="12" t="s">
        <v>339</v>
      </c>
      <c r="H152" s="11">
        <v>49500</v>
      </c>
      <c r="I152" s="11">
        <v>40000</v>
      </c>
      <c r="J152" s="4">
        <v>3</v>
      </c>
      <c r="K152" s="11">
        <v>2500</v>
      </c>
      <c r="L152" s="11">
        <v>50000</v>
      </c>
      <c r="M152" s="4">
        <v>605013</v>
      </c>
      <c r="N152" s="32" t="s">
        <v>497</v>
      </c>
      <c r="O152" s="4" t="s">
        <v>595</v>
      </c>
      <c r="P152" s="30">
        <f t="shared" si="32"/>
        <v>120000</v>
      </c>
      <c r="Q152" s="9" t="str">
        <f t="shared" si="33"/>
        <v>2029-06-14</v>
      </c>
      <c r="R152" t="str">
        <f t="shared" si="34"/>
        <v>INSERT INTO `nhathuoc_bsphong`.`dm_thuoc` (`ma_thuoc`, `ten_thuoc`, `hoat_chat`, `don_vi_chan`, `he_so`, `don_vi_le`, `nhom_thuoc`, `gia_nhap`, `gia_ban`) VALUES ('151', 'A.T Sucralfate 1g', 'Sucralfate gel', 'Hộp', '1', '  ', '  Tiêu hoá ', '2500', '2500');</v>
      </c>
      <c r="S152" t="str">
        <f t="shared" si="38"/>
        <v>INSERT INTO `nhathuoc_bsphong`.`tbl_nk_ct` (`ma_phieu_nhap`, `ma_thuoc`, `ten_thuoc`, `lsx`, `don_vi_le`, `so_luong`, `don_gia`, `thanh_tien`, `hsd`) VALUES ('NK001', '151', '', '605013', 'donvi', '3', '0', '0', '2029-06-14');</v>
      </c>
    </row>
    <row r="153" spans="1:19" ht="15.75">
      <c r="A153">
        <v>152</v>
      </c>
      <c r="B153" s="4" t="s">
        <v>11</v>
      </c>
      <c r="C153" s="4" t="s">
        <v>340</v>
      </c>
      <c r="D153" s="12" t="s">
        <v>341</v>
      </c>
      <c r="E153" s="4" t="s">
        <v>603</v>
      </c>
      <c r="F153" s="4" t="str">
        <f t="shared" si="31"/>
        <v/>
      </c>
      <c r="G153" s="20" t="s">
        <v>342</v>
      </c>
      <c r="H153" s="11">
        <v>70000</v>
      </c>
      <c r="I153" s="11">
        <v>60000</v>
      </c>
      <c r="J153" s="4">
        <v>2</v>
      </c>
      <c r="K153" s="11">
        <v>1800</v>
      </c>
      <c r="L153" s="11">
        <v>90000</v>
      </c>
      <c r="M153" s="5" t="s">
        <v>466</v>
      </c>
      <c r="N153" s="32">
        <v>46852</v>
      </c>
      <c r="O153" s="4" t="s">
        <v>595</v>
      </c>
      <c r="P153" s="30">
        <f t="shared" si="32"/>
        <v>120000</v>
      </c>
      <c r="Q153" s="9" t="str">
        <f t="shared" si="33"/>
        <v>2028-04-09</v>
      </c>
      <c r="R153" t="str">
        <f t="shared" si="34"/>
        <v>INSERT INTO `nhathuoc_bsphong`.`dm_thuoc` (`ma_thuoc`, `ten_thuoc`, `hoat_chat`, `don_vi_chan`, `he_so`, `don_vi_le`, `nhom_thuoc`, `gia_nhap`, `gia_ban`) VALUES ('152', 'Agitritine 200mg', 'Trimebutin 200mg', 'Hộp', '1', '  ', '  Tiêu hoá ', '1800', '1800');</v>
      </c>
      <c r="S153" t="str">
        <f t="shared" si="38"/>
        <v>INSERT INTO `nhathuoc_bsphong`.`tbl_nk_ct` (`ma_phieu_nhap`, `ma_thuoc`, `ten_thuoc`, `lsx`, `don_vi_le`, `so_luong`, `don_gia`, `thanh_tien`, `hsd`) VALUES ('NK001', '152', '', '060825', 'donvi', '2', '0', '0', '2028-04-09');</v>
      </c>
    </row>
    <row r="154" spans="1:19" ht="15.75">
      <c r="A154">
        <v>153</v>
      </c>
      <c r="B154" s="4" t="s">
        <v>23</v>
      </c>
      <c r="C154" s="4" t="s">
        <v>51</v>
      </c>
      <c r="D154" s="12" t="s">
        <v>160</v>
      </c>
      <c r="E154" s="4" t="s">
        <v>603</v>
      </c>
      <c r="F154" s="4" t="str">
        <f t="shared" si="31"/>
        <v>Viên</v>
      </c>
      <c r="G154" s="12" t="s">
        <v>343</v>
      </c>
      <c r="H154" s="11">
        <v>220400</v>
      </c>
      <c r="I154" s="11">
        <v>219000</v>
      </c>
      <c r="J154" s="4">
        <v>3</v>
      </c>
      <c r="K154" s="11">
        <v>7350</v>
      </c>
      <c r="L154" s="11">
        <v>220500</v>
      </c>
      <c r="M154" s="4" t="s">
        <v>467</v>
      </c>
      <c r="N154" s="32">
        <v>46392</v>
      </c>
      <c r="O154" s="4" t="s">
        <v>595</v>
      </c>
      <c r="P154" s="30">
        <f t="shared" si="32"/>
        <v>657000</v>
      </c>
      <c r="Q154" s="9" t="str">
        <f t="shared" si="33"/>
        <v>2027-01-05</v>
      </c>
      <c r="R154" t="str">
        <f t="shared" si="34"/>
        <v>INSERT INTO `nhathuoc_bsphong`.`dm_thuoc` (`ma_thuoc`, `ten_thuoc`, `hoat_chat`, `don_vi_chan`, `he_so`, `don_vi_le`, `nhom_thuoc`, `gia_nhap`, `gia_ban`) VALUES ('153', 'Cordaron 200 H/30v', 'Amiodarone 200mg', 'Hộp', '1', ' Viên ', '  Tim mạch ', '7350', '7350');</v>
      </c>
      <c r="S154" t="str">
        <f t="shared" si="38"/>
        <v>INSERT INTO `nhathuoc_bsphong`.`tbl_nk_ct` (`ma_phieu_nhap`, `ma_thuoc`, `ten_thuoc`, `lsx`, `don_vi_le`, `so_luong`, `don_gia`, `thanh_tien`, `hsd`) VALUES ('NK001', '153', '', 'GA2320', 'donvi', '3', '0', '0', '2027-01-05');</v>
      </c>
    </row>
    <row r="155" spans="1:19" ht="15.75">
      <c r="A155">
        <v>154</v>
      </c>
      <c r="B155" s="4" t="s">
        <v>23</v>
      </c>
      <c r="C155" s="4" t="s">
        <v>66</v>
      </c>
      <c r="D155" s="12" t="s">
        <v>173</v>
      </c>
      <c r="E155" s="4" t="s">
        <v>603</v>
      </c>
      <c r="F155" s="4" t="str">
        <f t="shared" si="31"/>
        <v>Viên</v>
      </c>
      <c r="G155" s="12"/>
      <c r="H155" s="11"/>
      <c r="I155" s="11"/>
      <c r="J155" s="4"/>
      <c r="K155">
        <v>0</v>
      </c>
      <c r="L155" s="11"/>
      <c r="M155" s="4"/>
      <c r="N155" s="32"/>
      <c r="O155" s="4"/>
      <c r="P155" s="30">
        <f t="shared" si="32"/>
        <v>0</v>
      </c>
      <c r="Q155" s="9" t="e">
        <f t="shared" si="33"/>
        <v>#VALUE!</v>
      </c>
      <c r="R155" t="str">
        <f t="shared" si="34"/>
        <v>INSERT INTO `nhathuoc_bsphong`.`dm_thuoc` (`ma_thuoc`, `ten_thuoc`, `hoat_chat`, `don_vi_chan`, `he_so`, `don_vi_le`, `nhom_thuoc`, `gia_nhap`, `gia_ban`) VALUES ('154', 'Exforge 10/160 H/28v', 'Amlodipin 10mg, Valsartan 160mg', 'Hộp', '1', ' Viên ', '  Tim mạch ', '0', '0');</v>
      </c>
      <c r="S155" t="e">
        <f t="shared" si="35"/>
        <v>#VALUE!</v>
      </c>
    </row>
    <row r="156" spans="1:19" ht="15.75">
      <c r="A156">
        <v>155</v>
      </c>
      <c r="B156" s="4" t="s">
        <v>23</v>
      </c>
      <c r="C156" s="4" t="s">
        <v>118</v>
      </c>
      <c r="D156" s="12" t="s">
        <v>208</v>
      </c>
      <c r="E156" s="4" t="s">
        <v>603</v>
      </c>
      <c r="F156" s="4" t="str">
        <f t="shared" si="31"/>
        <v>Viên</v>
      </c>
      <c r="G156" s="12"/>
      <c r="H156" s="11"/>
      <c r="I156" s="11"/>
      <c r="J156" s="4"/>
      <c r="K156">
        <v>0</v>
      </c>
      <c r="L156" s="11"/>
      <c r="M156" s="4"/>
      <c r="N156" s="32"/>
      <c r="O156" s="4"/>
      <c r="P156" s="30">
        <f t="shared" si="32"/>
        <v>0</v>
      </c>
      <c r="Q156" s="9" t="e">
        <f t="shared" si="33"/>
        <v>#VALUE!</v>
      </c>
      <c r="R156" t="str">
        <f t="shared" si="34"/>
        <v>INSERT INTO `nhathuoc_bsphong`.`dm_thuoc` (`ma_thuoc`, `ten_thuoc`, `hoat_chat`, `don_vi_chan`, `he_so`, `don_vi_le`, `nhom_thuoc`, `gia_nhap`, `gia_ban`) VALUES ('155', 'Stadovas 5 H/30v', 'Amlodipin 5mg', 'Hộp', '1', ' Viên ', '  Tim mạch ', '0', '0');</v>
      </c>
      <c r="S156" t="e">
        <f t="shared" si="35"/>
        <v>#VALUE!</v>
      </c>
    </row>
    <row r="157" spans="1:19" ht="15.75">
      <c r="A157">
        <v>156</v>
      </c>
      <c r="B157" s="4" t="s">
        <v>23</v>
      </c>
      <c r="C157" s="4" t="s">
        <v>38</v>
      </c>
      <c r="D157" s="12" t="s">
        <v>426</v>
      </c>
      <c r="E157" s="4" t="s">
        <v>603</v>
      </c>
      <c r="F157" s="4" t="str">
        <f t="shared" si="31"/>
        <v>Viên</v>
      </c>
      <c r="G157" s="12" t="s">
        <v>335</v>
      </c>
      <c r="H157" s="11">
        <v>28400</v>
      </c>
      <c r="I157" s="11">
        <v>20000</v>
      </c>
      <c r="J157" s="4">
        <v>2</v>
      </c>
      <c r="K157" s="11">
        <v>517.85714285714289</v>
      </c>
      <c r="L157" s="11">
        <v>29000</v>
      </c>
      <c r="M157" s="4">
        <v>161125</v>
      </c>
      <c r="N157" s="32" t="s">
        <v>498</v>
      </c>
      <c r="O157" s="4" t="s">
        <v>593</v>
      </c>
      <c r="P157" s="30">
        <f t="shared" si="32"/>
        <v>40000</v>
      </c>
      <c r="Q157" s="9" t="str">
        <f t="shared" si="33"/>
        <v>2027-12-29</v>
      </c>
      <c r="R157" t="str">
        <f t="shared" si="34"/>
        <v>INSERT INTO `nhathuoc_bsphong`.`dm_thuoc` (`ma_thuoc`, `ten_thuoc`, `hoat_chat`, `don_vi_chan`, `he_so`, `don_vi_le`, `nhom_thuoc`, `gia_nhap`, `gia_ban`) VALUES ('156', 'Aspirin Stella 81mg H/56V', 'Aspirin 81mg', 'Hộp', '1', ' Viên ', '  Tim mạch ', '517.857142857143', '517.857142857143');</v>
      </c>
      <c r="S157" t="str">
        <f t="shared" ref="S157:S161" si="39">"INSERT INTO `nhathuoc_bsphong`.`tbl_nk_ct` (`ma_phieu_nhap`, `ma_thuoc`, `ten_thuoc`, `lsx`, `don_vi_le`, `so_luong`, `don_gia`, `thanh_tien`, `hsd`) VALUES ('NK001', '" &amp; A157 &amp; "', '', '" &amp; M157 &amp; "', 'donvi', '"&amp; J157 &amp;"', '0', '0', '"&amp; Q157 &amp;"');"</f>
        <v>INSERT INTO `nhathuoc_bsphong`.`tbl_nk_ct` (`ma_phieu_nhap`, `ma_thuoc`, `ten_thuoc`, `lsx`, `don_vi_le`, `so_luong`, `don_gia`, `thanh_tien`, `hsd`) VALUES ('NK001', '156', '', '161125', 'donvi', '2', '0', '0', '2027-12-29');</v>
      </c>
    </row>
    <row r="158" spans="1:19" ht="15.75">
      <c r="A158">
        <v>157</v>
      </c>
      <c r="B158" s="4" t="s">
        <v>23</v>
      </c>
      <c r="C158" s="4" t="s">
        <v>50</v>
      </c>
      <c r="D158" s="14" t="s">
        <v>159</v>
      </c>
      <c r="E158" s="4" t="s">
        <v>603</v>
      </c>
      <c r="F158" s="4" t="str">
        <f t="shared" si="31"/>
        <v>Viên</v>
      </c>
      <c r="G158" s="12" t="s">
        <v>332</v>
      </c>
      <c r="H158" s="11">
        <v>109500</v>
      </c>
      <c r="I158" s="11">
        <v>104000</v>
      </c>
      <c r="J158" s="4">
        <v>3</v>
      </c>
      <c r="K158" s="11">
        <v>3650</v>
      </c>
      <c r="L158" s="11">
        <v>109500</v>
      </c>
      <c r="M158" s="4" t="s">
        <v>468</v>
      </c>
      <c r="N158" s="32" t="s">
        <v>499</v>
      </c>
      <c r="O158" s="4" t="s">
        <v>593</v>
      </c>
      <c r="P158" s="30">
        <f t="shared" si="32"/>
        <v>312000</v>
      </c>
      <c r="Q158" s="9" t="str">
        <f t="shared" si="33"/>
        <v>2027-01-26</v>
      </c>
      <c r="R158" t="str">
        <f t="shared" si="34"/>
        <v>INSERT INTO `nhathuoc_bsphong`.`dm_thuoc` (`ma_thuoc`, `ten_thuoc`, `hoat_chat`, `don_vi_chan`, `he_so`, `don_vi_le`, `nhom_thuoc`, `gia_nhap`, `gia_ban`) VALUES ('157', 'Concor 2.5 H/30v', 'Bisoprolol 2.5mg', 'Hộp', '1', ' Viên ', '  Tim mạch ', '3650', '3650');</v>
      </c>
      <c r="S158" t="str">
        <f t="shared" si="39"/>
        <v>INSERT INTO `nhathuoc_bsphong`.`tbl_nk_ct` (`ma_phieu_nhap`, `ma_thuoc`, `ten_thuoc`, `lsx`, `don_vi_le`, `so_luong`, `don_gia`, `thanh_tien`, `hsd`) VALUES ('NK001', '157', '', '4192C60100', 'donvi', '3', '0', '0', '2027-01-26');</v>
      </c>
    </row>
    <row r="159" spans="1:19" ht="15.75">
      <c r="A159">
        <v>158</v>
      </c>
      <c r="B159" s="4" t="s">
        <v>23</v>
      </c>
      <c r="C159" s="4" t="s">
        <v>30</v>
      </c>
      <c r="D159" s="12" t="s">
        <v>427</v>
      </c>
      <c r="E159" s="4" t="s">
        <v>603</v>
      </c>
      <c r="F159" s="4" t="str">
        <f t="shared" si="31"/>
        <v>Viên</v>
      </c>
      <c r="G159" s="12" t="s">
        <v>428</v>
      </c>
      <c r="H159" s="11">
        <v>50000</v>
      </c>
      <c r="I159" s="11">
        <v>47000</v>
      </c>
      <c r="J159" s="4">
        <v>3</v>
      </c>
      <c r="K159" s="11">
        <v>1666.6666666666667</v>
      </c>
      <c r="L159" s="11">
        <v>50000</v>
      </c>
      <c r="M159" s="5" t="s">
        <v>469</v>
      </c>
      <c r="N159" s="32" t="s">
        <v>500</v>
      </c>
      <c r="O159" s="4" t="s">
        <v>592</v>
      </c>
      <c r="P159" s="30">
        <f t="shared" si="32"/>
        <v>141000</v>
      </c>
      <c r="Q159" s="9" t="str">
        <f t="shared" si="33"/>
        <v>2029-04-22</v>
      </c>
      <c r="R159" t="str">
        <f t="shared" si="34"/>
        <v>INSERT INTO `nhathuoc_bsphong`.`dm_thuoc` (`ma_thuoc`, `ten_thuoc`, `hoat_chat`, `don_vi_chan`, `he_so`, `don_vi_le`, `nhom_thuoc`, `gia_nhap`, `gia_ban`) VALUES ('158', 'Dogrel Savi H/30v', 'Clopidogrel 75mg', 'Hộp', '1', ' Viên ', '  Tim mạch ', '1666.66666666667', '1666.66666666667');</v>
      </c>
      <c r="S159" t="str">
        <f t="shared" si="39"/>
        <v>INSERT INTO `nhathuoc_bsphong`.`tbl_nk_ct` (`ma_phieu_nhap`, `ma_thuoc`, `ten_thuoc`, `lsx`, `don_vi_le`, `so_luong`, `don_gia`, `thanh_tien`, `hsd`) VALUES ('NK001', '158', '', '2604871', 'donvi', '3', '0', '0', '2029-04-22');</v>
      </c>
    </row>
    <row r="160" spans="1:19" ht="15.75">
      <c r="A160">
        <v>159</v>
      </c>
      <c r="B160" s="4" t="s">
        <v>23</v>
      </c>
      <c r="C160" s="4" t="s">
        <v>322</v>
      </c>
      <c r="D160" s="12" t="s">
        <v>321</v>
      </c>
      <c r="E160" s="4" t="s">
        <v>603</v>
      </c>
      <c r="F160" s="4" t="str">
        <f t="shared" si="31"/>
        <v>Viên</v>
      </c>
      <c r="G160" s="12" t="s">
        <v>328</v>
      </c>
      <c r="H160" s="11">
        <v>560000</v>
      </c>
      <c r="I160" s="11">
        <v>569240</v>
      </c>
      <c r="J160" s="4">
        <v>2</v>
      </c>
      <c r="K160" s="11">
        <v>20428.571428571428</v>
      </c>
      <c r="L160" s="11">
        <v>572000</v>
      </c>
      <c r="M160" s="4" t="s">
        <v>470</v>
      </c>
      <c r="N160" s="32">
        <v>46756</v>
      </c>
      <c r="O160" s="4" t="s">
        <v>591</v>
      </c>
      <c r="P160" s="30">
        <f t="shared" si="32"/>
        <v>1138480</v>
      </c>
      <c r="Q160" s="9" t="str">
        <f t="shared" si="33"/>
        <v>2028-01-04</v>
      </c>
      <c r="R160" t="str">
        <f t="shared" si="34"/>
        <v>INSERT INTO `nhathuoc_bsphong`.`dm_thuoc` (`ma_thuoc`, `ten_thuoc`, `hoat_chat`, `don_vi_chan`, `he_so`, `don_vi_le`, `nhom_thuoc`, `gia_nhap`, `gia_ban`) VALUES ('159', 'Forxiga AstraZeneca H/28V', 'Dapagliflozin 10mg', 'Hộp', '1', ' Viên ', '  Tim mạch ', '20428.5714285714', '20428.5714285714');</v>
      </c>
      <c r="S160" t="str">
        <f t="shared" si="39"/>
        <v>INSERT INTO `nhathuoc_bsphong`.`tbl_nk_ct` (`ma_phieu_nhap`, `ma_thuoc`, `ten_thuoc`, `lsx`, `don_vi_le`, `so_luong`, `don_gia`, `thanh_tien`, `hsd`) VALUES ('NK001', '159', '', 'SW427', 'donvi', '2', '0', '0', '2028-01-04');</v>
      </c>
    </row>
    <row r="161" spans="1:19" ht="15.75">
      <c r="A161">
        <v>160</v>
      </c>
      <c r="B161" s="4" t="s">
        <v>23</v>
      </c>
      <c r="C161" s="4" t="s">
        <v>322</v>
      </c>
      <c r="D161" s="12" t="s">
        <v>553</v>
      </c>
      <c r="E161" s="4" t="s">
        <v>603</v>
      </c>
      <c r="F161" s="4" t="str">
        <f t="shared" si="31"/>
        <v/>
      </c>
      <c r="G161" s="12" t="s">
        <v>428</v>
      </c>
      <c r="H161" s="11"/>
      <c r="I161" s="11">
        <v>150000</v>
      </c>
      <c r="J161" s="4">
        <v>3</v>
      </c>
      <c r="K161" s="11">
        <v>8000</v>
      </c>
      <c r="L161" s="11">
        <v>240000</v>
      </c>
      <c r="M161" s="4">
        <v>2604846</v>
      </c>
      <c r="N161" s="32">
        <v>47301</v>
      </c>
      <c r="O161" s="4" t="s">
        <v>590</v>
      </c>
      <c r="P161" s="30">
        <f t="shared" si="32"/>
        <v>450000</v>
      </c>
      <c r="Q161" s="9" t="str">
        <f t="shared" si="33"/>
        <v>2029-07-02</v>
      </c>
      <c r="R161" t="str">
        <f t="shared" si="34"/>
        <v>INSERT INTO `nhathuoc_bsphong`.`dm_thuoc` (`ma_thuoc`, `ten_thuoc`, `hoat_chat`, `don_vi_chan`, `he_so`, `don_vi_le`, `nhom_thuoc`, `gia_nhap`, `gia_ban`) VALUES ('160', 'Savxiga 10', 'Dapagliflozin 10mg', 'Hộp', '1', '  ', '  Tim mạch ', '8000', '8000');</v>
      </c>
      <c r="S161" t="str">
        <f t="shared" si="39"/>
        <v>INSERT INTO `nhathuoc_bsphong`.`tbl_nk_ct` (`ma_phieu_nhap`, `ma_thuoc`, `ten_thuoc`, `lsx`, `don_vi_le`, `so_luong`, `don_gia`, `thanh_tien`, `hsd`) VALUES ('NK001', '160', '', '2604846', 'donvi', '3', '0', '0', '2029-07-02');</v>
      </c>
    </row>
    <row r="162" spans="1:19" ht="15.75">
      <c r="A162">
        <v>161</v>
      </c>
      <c r="B162" s="4" t="s">
        <v>23</v>
      </c>
      <c r="C162" s="4" t="s">
        <v>58</v>
      </c>
      <c r="D162" s="12" t="s">
        <v>166</v>
      </c>
      <c r="E162" s="4" t="s">
        <v>603</v>
      </c>
      <c r="F162" s="4" t="str">
        <f t="shared" si="31"/>
        <v>Viên</v>
      </c>
      <c r="G162" s="12"/>
      <c r="H162" s="11"/>
      <c r="I162" s="11"/>
      <c r="J162" s="4"/>
      <c r="K162">
        <v>0</v>
      </c>
      <c r="L162" s="11"/>
      <c r="M162" s="4"/>
      <c r="N162" s="32"/>
      <c r="O162" s="4"/>
      <c r="P162" s="30">
        <f t="shared" si="32"/>
        <v>0</v>
      </c>
      <c r="Q162" s="9" t="e">
        <f t="shared" si="33"/>
        <v>#VALUE!</v>
      </c>
      <c r="R162" t="str">
        <f t="shared" si="34"/>
        <v>INSERT INTO `nhathuoc_bsphong`.`dm_thuoc` (`ma_thuoc`, `ten_thuoc`, `hoat_chat`, `don_vi_chan`, `he_so`, `don_vi_le`, `nhom_thuoc`, `gia_nhap`, `gia_ban`) VALUES ('161', 'Digoxin 0.25 H/30v', 'Digoxin 0.25mg', 'Hộp', '1', ' Viên ', '  Tim mạch ', '0', '0');</v>
      </c>
      <c r="S162" t="e">
        <f t="shared" si="35"/>
        <v>#VALUE!</v>
      </c>
    </row>
    <row r="163" spans="1:19" ht="15.75">
      <c r="A163">
        <v>162</v>
      </c>
      <c r="B163" s="4" t="s">
        <v>23</v>
      </c>
      <c r="C163" s="4" t="s">
        <v>22</v>
      </c>
      <c r="D163" s="4" t="s">
        <v>24</v>
      </c>
      <c r="E163" s="4" t="s">
        <v>603</v>
      </c>
      <c r="F163" s="4" t="str">
        <f t="shared" si="31"/>
        <v>Viên</v>
      </c>
      <c r="G163" s="4"/>
      <c r="H163" s="11"/>
      <c r="I163" s="11"/>
      <c r="J163" s="4"/>
      <c r="K163">
        <v>0</v>
      </c>
      <c r="L163" s="11"/>
      <c r="M163" s="4"/>
      <c r="N163" s="32"/>
      <c r="O163" s="4"/>
      <c r="P163" s="30">
        <f t="shared" si="32"/>
        <v>0</v>
      </c>
      <c r="Q163" s="9" t="e">
        <f t="shared" si="33"/>
        <v>#VALUE!</v>
      </c>
      <c r="R163" t="str">
        <f t="shared" si="34"/>
        <v>INSERT INTO `nhathuoc_bsphong`.`dm_thuoc` (`ma_thuoc`, `ten_thuoc`, `hoat_chat`, `don_vi_chan`, `he_so`, `don_vi_le`, `nhom_thuoc`, `gia_nhap`, `gia_ban`) VALUES ('162', 'Aprovel 150mg H/28V', 'Irbesartan 150mg, Hydroclorthiazid 12,5mg', 'Hộp', '1', ' Viên ', '  Tim mạch ', '0', '0');</v>
      </c>
      <c r="S163" t="e">
        <f t="shared" si="35"/>
        <v>#VALUE!</v>
      </c>
    </row>
    <row r="164" spans="1:19" s="1" customFormat="1" ht="15.75">
      <c r="A164">
        <v>163</v>
      </c>
      <c r="B164" s="4" t="s">
        <v>23</v>
      </c>
      <c r="C164" s="4" t="s">
        <v>81</v>
      </c>
      <c r="D164" s="12" t="s">
        <v>179</v>
      </c>
      <c r="E164" s="4" t="s">
        <v>603</v>
      </c>
      <c r="F164" s="4" t="str">
        <f t="shared" si="31"/>
        <v>Viên</v>
      </c>
      <c r="G164" s="12"/>
      <c r="H164" s="11"/>
      <c r="I164" s="11"/>
      <c r="J164" s="4"/>
      <c r="K164">
        <v>0</v>
      </c>
      <c r="L164" s="11"/>
      <c r="M164" s="4"/>
      <c r="N164" s="32"/>
      <c r="O164" s="4"/>
      <c r="P164" s="30">
        <f t="shared" si="32"/>
        <v>0</v>
      </c>
      <c r="Q164" s="9" t="e">
        <f t="shared" si="33"/>
        <v>#VALUE!</v>
      </c>
      <c r="R164" t="str">
        <f t="shared" si="34"/>
        <v>INSERT INTO `nhathuoc_bsphong`.`dm_thuoc` (`ma_thuoc`, `ten_thuoc`, `hoat_chat`, `don_vi_chan`, `he_so`, `don_vi_le`, `nhom_thuoc`, `gia_nhap`, `gia_ban`) VALUES ('163', 'Imdur 60 H/30v', 'Isosorbid 60mg', 'Hộp', '1', ' Viên ', '  Tim mạch ', '0', '0');</v>
      </c>
      <c r="S164" t="e">
        <f t="shared" si="35"/>
        <v>#VALUE!</v>
      </c>
    </row>
    <row r="165" spans="1:19" ht="15.75">
      <c r="A165">
        <v>164</v>
      </c>
      <c r="B165" s="4" t="s">
        <v>23</v>
      </c>
      <c r="C165" s="4" t="s">
        <v>112</v>
      </c>
      <c r="D165" s="12" t="s">
        <v>204</v>
      </c>
      <c r="E165" s="4" t="s">
        <v>603</v>
      </c>
      <c r="F165" s="4" t="str">
        <f t="shared" si="31"/>
        <v>Viên</v>
      </c>
      <c r="G165" s="12" t="s">
        <v>327</v>
      </c>
      <c r="H165" s="11">
        <v>599200</v>
      </c>
      <c r="I165" s="11">
        <v>575400</v>
      </c>
      <c r="J165" s="4">
        <v>1</v>
      </c>
      <c r="K165" s="11">
        <v>10700</v>
      </c>
      <c r="L165" s="11">
        <f>599200</f>
        <v>599200</v>
      </c>
      <c r="M165" s="4">
        <v>6124094</v>
      </c>
      <c r="N165" s="35" t="s">
        <v>587</v>
      </c>
      <c r="O165" s="4" t="s">
        <v>590</v>
      </c>
      <c r="P165" s="30">
        <f t="shared" si="32"/>
        <v>575400</v>
      </c>
      <c r="Q165" s="9" t="str">
        <f t="shared" si="33"/>
        <v>2028-04-01</v>
      </c>
      <c r="R165" t="str">
        <f t="shared" si="34"/>
        <v>INSERT INTO `nhathuoc_bsphong`.`dm_thuoc` (`ma_thuoc`, `ten_thuoc`, `hoat_chat`, `don_vi_chan`, `he_so`, `don_vi_le`, `nhom_thuoc`, `gia_nhap`, `gia_ban`) VALUES ('164', 'Procopralan 5 H/56v', 'Ivabradin 5mg', 'Hộp', '1', ' Viên ', '  Tim mạch ', '10700', '10700');</v>
      </c>
      <c r="S165" t="str">
        <f>"INSERT INTO `nhathuoc_bsphong`.`tbl_nk_ct` (`ma_phieu_nhap`, `ma_thuoc`, `ten_thuoc`, `lsx`, `don_vi_le`, `so_luong`, `don_gia`, `thanh_tien`, `hsd`) VALUES ('NK001', '" &amp; A165 &amp; "', '', '" &amp; M165 &amp; "', 'donvi', '"&amp; J165 &amp;"', '0', '0', '"&amp; Q165 &amp;"');"</f>
        <v>INSERT INTO `nhathuoc_bsphong`.`tbl_nk_ct` (`ma_phieu_nhap`, `ma_thuoc`, `ten_thuoc`, `lsx`, `don_vi_le`, `so_luong`, `don_gia`, `thanh_tien`, `hsd`) VALUES ('NK001', '164', '', '6124094', 'donvi', '1', '0', '0', '2028-04-01');</v>
      </c>
    </row>
    <row r="166" spans="1:19" ht="15.75">
      <c r="A166">
        <v>165</v>
      </c>
      <c r="B166" s="4" t="s">
        <v>23</v>
      </c>
      <c r="C166" s="4" t="s">
        <v>88</v>
      </c>
      <c r="D166" s="12" t="s">
        <v>287</v>
      </c>
      <c r="E166" s="4" t="s">
        <v>603</v>
      </c>
      <c r="F166" s="4" t="str">
        <f t="shared" si="31"/>
        <v>Viên</v>
      </c>
      <c r="G166" s="12"/>
      <c r="H166" s="11"/>
      <c r="I166" s="11"/>
      <c r="J166" s="4"/>
      <c r="K166">
        <v>0</v>
      </c>
      <c r="L166" s="11"/>
      <c r="M166" s="4"/>
      <c r="N166" s="32"/>
      <c r="O166" s="4"/>
      <c r="P166" s="30">
        <f t="shared" si="32"/>
        <v>0</v>
      </c>
      <c r="Q166" s="9" t="e">
        <f t="shared" si="33"/>
        <v>#VALUE!</v>
      </c>
      <c r="R166" t="str">
        <f t="shared" si="34"/>
        <v>INSERT INTO `nhathuoc_bsphong`.`dm_thuoc` (`ma_thuoc`, `ten_thuoc`, `hoat_chat`, `don_vi_chan`, `he_so`, `don_vi_le`, `nhom_thuoc`, `gia_nhap`, `gia_ban`) VALUES ('165', 'Cozaar 50mg Organon H/28V', 'Losartan 50mg', 'Hộp', '1', ' Viên ', '  Tim mạch ', '0', '0');</v>
      </c>
      <c r="S166" t="e">
        <f t="shared" si="35"/>
        <v>#VALUE!</v>
      </c>
    </row>
    <row r="167" spans="1:19" ht="15.75">
      <c r="A167">
        <v>166</v>
      </c>
      <c r="B167" s="4" t="s">
        <v>23</v>
      </c>
      <c r="C167" s="4" t="s">
        <v>88</v>
      </c>
      <c r="D167" s="12" t="s">
        <v>429</v>
      </c>
      <c r="E167" s="4" t="s">
        <v>603</v>
      </c>
      <c r="F167" s="4" t="str">
        <f t="shared" si="31"/>
        <v>Viên</v>
      </c>
      <c r="G167" s="12" t="s">
        <v>428</v>
      </c>
      <c r="H167" s="11">
        <v>41500</v>
      </c>
      <c r="I167" s="11">
        <v>38000</v>
      </c>
      <c r="J167" s="4">
        <v>3</v>
      </c>
      <c r="K167" s="11">
        <v>1383.3333333333333</v>
      </c>
      <c r="L167" s="11">
        <v>41500</v>
      </c>
      <c r="M167" s="4">
        <v>2604889</v>
      </c>
      <c r="N167" s="32" t="s">
        <v>501</v>
      </c>
      <c r="O167" s="4" t="s">
        <v>592</v>
      </c>
      <c r="P167" s="30">
        <f t="shared" si="32"/>
        <v>114000</v>
      </c>
      <c r="Q167" s="9" t="str">
        <f t="shared" si="33"/>
        <v>2029-04-20</v>
      </c>
      <c r="R167" t="str">
        <f t="shared" si="34"/>
        <v>INSERT INTO `nhathuoc_bsphong`.`dm_thuoc` (`ma_thuoc`, `ten_thuoc`, `hoat_chat`, `don_vi_chan`, `he_so`, `don_vi_le`, `nhom_thuoc`, `gia_nhap`, `gia_ban`) VALUES ('166', 'SaviLosartan 50 H/30v', 'Losartan 50mg', 'Hộp', '1', ' Viên ', '  Tim mạch ', '1383.33333333333', '1383.33333333333');</v>
      </c>
      <c r="S167" t="str">
        <f>"INSERT INTO `nhathuoc_bsphong`.`tbl_nk_ct` (`ma_phieu_nhap`, `ma_thuoc`, `ten_thuoc`, `lsx`, `don_vi_le`, `so_luong`, `don_gia`, `thanh_tien`, `hsd`) VALUES ('NK001', '" &amp; A167 &amp; "', '', '" &amp; M167 &amp; "', 'donvi', '"&amp; J167 &amp;"', '0', '0', '"&amp; Q167 &amp;"');"</f>
        <v>INSERT INTO `nhathuoc_bsphong`.`tbl_nk_ct` (`ma_phieu_nhap`, `ma_thuoc`, `ten_thuoc`, `lsx`, `don_vi_le`, `so_luong`, `don_gia`, `thanh_tien`, `hsd`) VALUES ('NK001', '166', '', '2604889', 'donvi', '3', '0', '0', '2029-04-20');</v>
      </c>
    </row>
    <row r="168" spans="1:19" ht="15.75">
      <c r="A168">
        <v>167</v>
      </c>
      <c r="B168" s="4" t="s">
        <v>23</v>
      </c>
      <c r="C168" s="4" t="s">
        <v>87</v>
      </c>
      <c r="D168" s="12" t="s">
        <v>288</v>
      </c>
      <c r="E168" s="4" t="s">
        <v>603</v>
      </c>
      <c r="F168" s="4" t="str">
        <f t="shared" si="31"/>
        <v>Viên</v>
      </c>
      <c r="G168" s="12"/>
      <c r="H168" s="11"/>
      <c r="I168" s="11"/>
      <c r="J168" s="4"/>
      <c r="K168">
        <v>0</v>
      </c>
      <c r="L168" s="11"/>
      <c r="M168" s="4"/>
      <c r="N168" s="32"/>
      <c r="O168" s="9"/>
      <c r="P168" s="30">
        <f t="shared" si="32"/>
        <v>0</v>
      </c>
      <c r="Q168" s="9" t="e">
        <f t="shared" si="33"/>
        <v>#VALUE!</v>
      </c>
      <c r="R168" t="str">
        <f t="shared" si="34"/>
        <v>INSERT INTO `nhathuoc_bsphong`.`dm_thuoc` (`ma_thuoc`, `ten_thuoc`, `hoat_chat`, `don_vi_chan`, `he_so`, `don_vi_le`, `nhom_thuoc`, `gia_nhap`, `gia_ban`) VALUES ('167', 'Colosar-Denk 50/12.5 H/28V', 'Losartan 50mg, Hydrochlothiazide 12.5mg', 'Hộp', '1', ' Viên ', '  Tim mạch ', '0', '0');</v>
      </c>
      <c r="S168" t="e">
        <f t="shared" si="35"/>
        <v>#VALUE!</v>
      </c>
    </row>
    <row r="169" spans="1:19" ht="15.75">
      <c r="A169">
        <v>168</v>
      </c>
      <c r="B169" s="4" t="s">
        <v>23</v>
      </c>
      <c r="C169" s="4" t="s">
        <v>304</v>
      </c>
      <c r="D169" s="12" t="s">
        <v>303</v>
      </c>
      <c r="E169" s="4" t="s">
        <v>603</v>
      </c>
      <c r="F169" s="4" t="str">
        <f t="shared" si="31"/>
        <v/>
      </c>
      <c r="G169" s="12" t="s">
        <v>344</v>
      </c>
      <c r="H169" s="11">
        <v>315000</v>
      </c>
      <c r="I169" s="11">
        <v>310500</v>
      </c>
      <c r="J169" s="4">
        <v>3</v>
      </c>
      <c r="K169" s="11">
        <v>10500</v>
      </c>
      <c r="L169" s="11">
        <v>315000</v>
      </c>
      <c r="M169" s="4" t="s">
        <v>471</v>
      </c>
      <c r="N169" s="32" t="s">
        <v>502</v>
      </c>
      <c r="O169" s="4" t="s">
        <v>595</v>
      </c>
      <c r="P169" s="30">
        <f t="shared" si="32"/>
        <v>931500</v>
      </c>
      <c r="Q169" s="9" t="str">
        <f t="shared" si="33"/>
        <v>2029-01-28</v>
      </c>
      <c r="R169" t="str">
        <f t="shared" si="34"/>
        <v>INSERT INTO `nhathuoc_bsphong`.`dm_thuoc` (`ma_thuoc`, `ten_thuoc`, `hoat_chat`, `don_vi_chan`, `he_so`, `don_vi_le`, `nhom_thuoc`, `gia_nhap`, `gia_ban`) VALUES ('168', 'Adalat LA 30 Bayer', 'Nifedipin 30mg', 'Hộp', '1', '  ', '  Tim mạch ', '10500', '10500');</v>
      </c>
      <c r="S169" t="str">
        <f>"INSERT INTO `nhathuoc_bsphong`.`tbl_nk_ct` (`ma_phieu_nhap`, `ma_thuoc`, `ten_thuoc`, `lsx`, `don_vi_le`, `so_luong`, `don_gia`, `thanh_tien`, `hsd`) VALUES ('NK001', '" &amp; A169 &amp; "', '', '" &amp; M169 &amp; "', 'donvi', '"&amp; J169 &amp;"', '0', '0', '"&amp; Q169 &amp;"');"</f>
        <v>INSERT INTO `nhathuoc_bsphong`.`tbl_nk_ct` (`ma_phieu_nhap`, `ma_thuoc`, `ten_thuoc`, `lsx`, `don_vi_le`, `so_luong`, `don_gia`, `thanh_tien`, `hsd`) VALUES ('NK001', '168', '', 'BKX94R2', 'donvi', '3', '0', '0', '2029-01-28');</v>
      </c>
    </row>
    <row r="170" spans="1:19" ht="15.75">
      <c r="A170">
        <v>169</v>
      </c>
      <c r="B170" s="4" t="s">
        <v>23</v>
      </c>
      <c r="C170" s="4" t="s">
        <v>52</v>
      </c>
      <c r="D170" s="12" t="s">
        <v>161</v>
      </c>
      <c r="E170" s="4" t="s">
        <v>603</v>
      </c>
      <c r="F170" s="4" t="str">
        <f t="shared" si="31"/>
        <v>Viên</v>
      </c>
      <c r="G170" s="12"/>
      <c r="H170" s="11"/>
      <c r="I170" s="11"/>
      <c r="J170" s="4"/>
      <c r="K170">
        <v>0</v>
      </c>
      <c r="L170" s="11"/>
      <c r="M170" s="4"/>
      <c r="N170" s="32"/>
      <c r="O170" s="4"/>
      <c r="P170" s="30">
        <f t="shared" si="32"/>
        <v>0</v>
      </c>
      <c r="Q170" s="9" t="e">
        <f t="shared" si="33"/>
        <v>#VALUE!</v>
      </c>
      <c r="R170" t="str">
        <f t="shared" si="34"/>
        <v>INSERT INTO `nhathuoc_bsphong`.`dm_thuoc` (`ma_thuoc`, `ten_thuoc`, `hoat_chat`, `don_vi_chan`, `he_so`, `don_vi_le`, `nhom_thuoc`, `gia_nhap`, `gia_ban`) VALUES ('169', 'Coversyl 5 C/30v', 'Perindopril 5mg', 'Hộp', '1', ' Viên ', '  Tim mạch ', '0', '0');</v>
      </c>
      <c r="S170" t="e">
        <f t="shared" si="35"/>
        <v>#VALUE!</v>
      </c>
    </row>
    <row r="171" spans="1:19" ht="15.75">
      <c r="A171">
        <v>170</v>
      </c>
      <c r="B171" s="4" t="s">
        <v>23</v>
      </c>
      <c r="C171" s="4" t="s">
        <v>53</v>
      </c>
      <c r="D171" s="12" t="s">
        <v>162</v>
      </c>
      <c r="E171" s="4" t="s">
        <v>603</v>
      </c>
      <c r="F171" s="4" t="str">
        <f t="shared" si="31"/>
        <v>Viên</v>
      </c>
      <c r="G171" s="12" t="s">
        <v>327</v>
      </c>
      <c r="H171" s="11">
        <v>251000</v>
      </c>
      <c r="I171" s="11">
        <v>238000</v>
      </c>
      <c r="J171" s="4">
        <v>3</v>
      </c>
      <c r="K171" s="11">
        <v>8366.6666666666661</v>
      </c>
      <c r="L171" s="11">
        <v>251000</v>
      </c>
      <c r="M171" s="4">
        <v>6133626</v>
      </c>
      <c r="N171" s="32">
        <v>46762</v>
      </c>
      <c r="O171" s="4" t="s">
        <v>591</v>
      </c>
      <c r="P171" s="30">
        <f t="shared" si="32"/>
        <v>714000</v>
      </c>
      <c r="Q171" s="9" t="str">
        <f t="shared" si="33"/>
        <v>2028-01-10</v>
      </c>
      <c r="R171" t="str">
        <f t="shared" si="34"/>
        <v>INSERT INTO `nhathuoc_bsphong`.`dm_thuoc` (`ma_thuoc`, `ten_thuoc`, `hoat_chat`, `don_vi_chan`, `he_so`, `don_vi_le`, `nhom_thuoc`, `gia_nhap`, `gia_ban`) VALUES ('170', 'Coversyl Plus 5/1.25 C/30v', 'Perindopril 5mg, Indapamid 1.25mg', 'Hộp', '1', ' Viên ', '  Tim mạch ', '8366.66666666667', '8366.66666666667');</v>
      </c>
      <c r="S171" t="str">
        <f>"INSERT INTO `nhathuoc_bsphong`.`tbl_nk_ct` (`ma_phieu_nhap`, `ma_thuoc`, `ten_thuoc`, `lsx`, `don_vi_le`, `so_luong`, `don_gia`, `thanh_tien`, `hsd`) VALUES ('NK001', '" &amp; A171 &amp; "', '', '" &amp; M171 &amp; "', 'donvi', '"&amp; J171 &amp;"', '0', '0', '"&amp; Q171 &amp;"');"</f>
        <v>INSERT INTO `nhathuoc_bsphong`.`tbl_nk_ct` (`ma_phieu_nhap`, `ma_thuoc`, `ten_thuoc`, `lsx`, `don_vi_le`, `so_luong`, `don_gia`, `thanh_tien`, `hsd`) VALUES ('NK001', '170', '', '6133626', 'donvi', '3', '0', '0', '2028-01-10');</v>
      </c>
    </row>
    <row r="172" spans="1:19" ht="15.75">
      <c r="A172">
        <v>171</v>
      </c>
      <c r="B172" s="4" t="s">
        <v>23</v>
      </c>
      <c r="C172" s="4" t="s">
        <v>113</v>
      </c>
      <c r="D172" s="12" t="s">
        <v>306</v>
      </c>
      <c r="E172" s="4" t="s">
        <v>603</v>
      </c>
      <c r="F172" s="4" t="str">
        <f t="shared" si="31"/>
        <v>Viên</v>
      </c>
      <c r="G172" s="12"/>
      <c r="H172" s="11"/>
      <c r="I172" s="11"/>
      <c r="J172" s="4"/>
      <c r="K172">
        <v>0</v>
      </c>
      <c r="L172" s="11"/>
      <c r="M172" s="4"/>
      <c r="N172" s="32"/>
      <c r="O172" s="4"/>
      <c r="P172" s="30">
        <f t="shared" si="32"/>
        <v>0</v>
      </c>
      <c r="Q172" s="9" t="e">
        <f t="shared" si="33"/>
        <v>#VALUE!</v>
      </c>
      <c r="R172" t="str">
        <f t="shared" si="34"/>
        <v>INSERT INTO `nhathuoc_bsphong`.`dm_thuoc` (`ma_thuoc`, `ten_thuoc`, `hoat_chat`, `don_vi_chan`, `he_so`, `don_vi_le`, `nhom_thuoc`, `gia_nhap`, `gia_ban`) VALUES ('171', 'Propranolol Teva 40mg H/50V', 'Propranolon 40mg', 'Hộp', '1', ' Viên ', '  Tim mạch ', '0', '0');</v>
      </c>
      <c r="S172" t="e">
        <f t="shared" si="35"/>
        <v>#VALUE!</v>
      </c>
    </row>
    <row r="173" spans="1:19" ht="15.75">
      <c r="A173">
        <v>172</v>
      </c>
      <c r="B173" s="4" t="s">
        <v>23</v>
      </c>
      <c r="C173" s="4" t="s">
        <v>121</v>
      </c>
      <c r="D173" s="12" t="s">
        <v>346</v>
      </c>
      <c r="E173" s="4" t="s">
        <v>603</v>
      </c>
      <c r="F173" s="4" t="str">
        <f t="shared" si="31"/>
        <v/>
      </c>
      <c r="G173" s="12" t="s">
        <v>345</v>
      </c>
      <c r="H173" s="11">
        <v>35600</v>
      </c>
      <c r="I173" s="11">
        <v>24000</v>
      </c>
      <c r="J173" s="4">
        <v>3</v>
      </c>
      <c r="K173" s="11">
        <v>1186.6666666666667</v>
      </c>
      <c r="L173" s="11">
        <v>35600</v>
      </c>
      <c r="M173" s="4">
        <v>260773</v>
      </c>
      <c r="N173" s="32">
        <v>47395</v>
      </c>
      <c r="O173" s="4" t="s">
        <v>595</v>
      </c>
      <c r="P173" s="30">
        <f t="shared" si="32"/>
        <v>72000</v>
      </c>
      <c r="Q173" s="9" t="str">
        <f t="shared" si="33"/>
        <v>2029-10-04</v>
      </c>
      <c r="R173" t="str">
        <f t="shared" si="34"/>
        <v>INSERT INTO `nhathuoc_bsphong`.`dm_thuoc` (`ma_thuoc`, `ten_thuoc`, `hoat_chat`, `don_vi_chan`, `he_so`, `don_vi_le`, `nhom_thuoc`, `gia_nhap`, `gia_ban`) VALUES ('172', 'Zhekof 40mg', 'Telmisartan 40mg', 'Hộp', '1', '  ', '  Tim mạch ', '1186.66666666667', '1186.66666666667');</v>
      </c>
      <c r="S173" t="str">
        <f>"INSERT INTO `nhathuoc_bsphong`.`tbl_nk_ct` (`ma_phieu_nhap`, `ma_thuoc`, `ten_thuoc`, `lsx`, `don_vi_le`, `so_luong`, `don_gia`, `thanh_tien`, `hsd`) VALUES ('NK001', '" &amp; A173 &amp; "', '', '" &amp; M173 &amp; "', 'donvi', '"&amp; J173 &amp;"', '0', '0', '"&amp; Q173 &amp;"');"</f>
        <v>INSERT INTO `nhathuoc_bsphong`.`tbl_nk_ct` (`ma_phieu_nhap`, `ma_thuoc`, `ten_thuoc`, `lsx`, `don_vi_le`, `so_luong`, `don_gia`, `thanh_tien`, `hsd`) VALUES ('NK001', '172', '', '260773', 'donvi', '3', '0', '0', '2029-10-04');</v>
      </c>
    </row>
    <row r="174" spans="1:19" ht="15.75">
      <c r="A174">
        <v>173</v>
      </c>
      <c r="B174" s="4" t="s">
        <v>23</v>
      </c>
      <c r="C174" s="4" t="s">
        <v>307</v>
      </c>
      <c r="D174" s="12" t="s">
        <v>308</v>
      </c>
      <c r="E174" s="4" t="s">
        <v>603</v>
      </c>
      <c r="F174" s="4" t="str">
        <f t="shared" si="31"/>
        <v>Viên</v>
      </c>
      <c r="G174" s="12"/>
      <c r="H174" s="11"/>
      <c r="I174" s="11"/>
      <c r="J174" s="4"/>
      <c r="K174">
        <v>0</v>
      </c>
      <c r="L174" s="11"/>
      <c r="M174" s="4"/>
      <c r="N174" s="32"/>
      <c r="O174" s="4"/>
      <c r="P174" s="30">
        <f t="shared" si="32"/>
        <v>0</v>
      </c>
      <c r="Q174" s="9" t="e">
        <f t="shared" si="33"/>
        <v>#VALUE!</v>
      </c>
      <c r="R174" t="str">
        <f t="shared" si="34"/>
        <v>INSERT INTO `nhathuoc_bsphong`.`dm_thuoc` (`ma_thuoc`, `ten_thuoc`, `hoat_chat`, `don_vi_chan`, `he_so`, `don_vi_le`, `nhom_thuoc`, `gia_nhap`, `gia_ban`) VALUES ('173', 'TELMISARTAN 80 (TV. PHARM) H/100V', 'Telmisartan 80mg', 'Hộp', '1', ' Viên ', '  Tim mạch ', '0', '0');</v>
      </c>
      <c r="S174" t="e">
        <f t="shared" si="35"/>
        <v>#VALUE!</v>
      </c>
    </row>
    <row r="175" spans="1:19" ht="15.75">
      <c r="A175">
        <v>174</v>
      </c>
      <c r="B175" s="4" t="s">
        <v>23</v>
      </c>
      <c r="C175" s="4" t="s">
        <v>145</v>
      </c>
      <c r="D175" s="12" t="s">
        <v>235</v>
      </c>
      <c r="E175" s="4" t="s">
        <v>603</v>
      </c>
      <c r="F175" s="4" t="str">
        <f t="shared" si="31"/>
        <v>Viên</v>
      </c>
      <c r="G175" s="12" t="s">
        <v>327</v>
      </c>
      <c r="H175" s="21">
        <v>178600</v>
      </c>
      <c r="I175" s="21">
        <v>178560</v>
      </c>
      <c r="J175" s="6">
        <v>3</v>
      </c>
      <c r="K175" s="11">
        <v>2983.3333333333335</v>
      </c>
      <c r="L175" s="11">
        <v>179000</v>
      </c>
      <c r="M175" s="6">
        <v>6113002</v>
      </c>
      <c r="N175" s="33">
        <v>46397</v>
      </c>
      <c r="O175" s="4" t="s">
        <v>593</v>
      </c>
      <c r="P175" s="30">
        <f t="shared" si="32"/>
        <v>535680</v>
      </c>
      <c r="Q175" s="9" t="str">
        <f t="shared" si="33"/>
        <v>2027-01-10</v>
      </c>
      <c r="R175" t="str">
        <f t="shared" si="34"/>
        <v>INSERT INTO `nhathuoc_bsphong`.`dm_thuoc` (`ma_thuoc`, `ten_thuoc`, `hoat_chat`, `don_vi_chan`, `he_so`, `don_vi_le`, `nhom_thuoc`, `gia_nhap`, `gia_ban`) VALUES ('174', 'Vastarel 35 MR H/60v', 'Trimetazidin 35mg', 'Hộp', '1', ' Viên ', '  Tim mạch ', '2983.33333333333', '2983.33333333333');</v>
      </c>
      <c r="S175" t="str">
        <f>"INSERT INTO `nhathuoc_bsphong`.`tbl_nk_ct` (`ma_phieu_nhap`, `ma_thuoc`, `ten_thuoc`, `lsx`, `don_vi_le`, `so_luong`, `don_gia`, `thanh_tien`, `hsd`) VALUES ('NK001', '" &amp; A175 &amp; "', '', '" &amp; M175 &amp; "', 'donvi', '"&amp; J175 &amp;"', '0', '0', '"&amp; Q175 &amp;"');"</f>
        <v>INSERT INTO `nhathuoc_bsphong`.`tbl_nk_ct` (`ma_phieu_nhap`, `ma_thuoc`, `ten_thuoc`, `lsx`, `don_vi_le`, `so_luong`, `don_gia`, `thanh_tien`, `hsd`) VALUES ('NK001', '174', '', '6113002', 'donvi', '3', '0', '0', '2027-01-10');</v>
      </c>
    </row>
    <row r="176" spans="1:19" ht="15.75">
      <c r="A176">
        <v>175</v>
      </c>
      <c r="B176" s="4" t="s">
        <v>23</v>
      </c>
      <c r="C176" s="4" t="s">
        <v>36</v>
      </c>
      <c r="D176" s="12" t="s">
        <v>152</v>
      </c>
      <c r="E176" s="4" t="s">
        <v>603</v>
      </c>
      <c r="F176" s="4" t="str">
        <f t="shared" si="31"/>
        <v>Viên</v>
      </c>
      <c r="G176" s="12"/>
      <c r="H176" s="11"/>
      <c r="I176" s="11"/>
      <c r="J176" s="4"/>
      <c r="K176">
        <v>0</v>
      </c>
      <c r="L176" s="11"/>
      <c r="M176" s="4"/>
      <c r="N176" s="32"/>
      <c r="O176" s="4"/>
      <c r="P176" s="30">
        <f t="shared" si="32"/>
        <v>0</v>
      </c>
      <c r="Q176" s="9" t="e">
        <f t="shared" si="33"/>
        <v>#VALUE!</v>
      </c>
      <c r="R176" t="str">
        <f t="shared" si="34"/>
        <v>INSERT INTO `nhathuoc_bsphong`.`dm_thuoc` (`ma_thuoc`, `ten_thuoc`, `hoat_chat`, `don_vi_chan`, `he_so`, `don_vi_le`, `nhom_thuoc`, `gia_nhap`, `gia_ban`) VALUES ('175', 'Apival 80 H/28v', 'Valsartan 80mg', 'Hộp', '1', ' Viên ', '  Tim mạch ', '0', '0');</v>
      </c>
      <c r="S176" t="e">
        <f t="shared" si="35"/>
        <v>#VALUE!</v>
      </c>
    </row>
    <row r="177" spans="1:19" ht="15.75">
      <c r="A177">
        <v>176</v>
      </c>
      <c r="B177" s="4" t="s">
        <v>23</v>
      </c>
      <c r="C177" s="4" t="s">
        <v>36</v>
      </c>
      <c r="D177" s="12" t="s">
        <v>347</v>
      </c>
      <c r="E177" s="4" t="s">
        <v>603</v>
      </c>
      <c r="F177" s="4" t="str">
        <f t="shared" si="31"/>
        <v>Viên</v>
      </c>
      <c r="G177" s="12" t="s">
        <v>335</v>
      </c>
      <c r="H177" s="11">
        <v>126000</v>
      </c>
      <c r="I177" s="11">
        <v>100000</v>
      </c>
      <c r="J177" s="4">
        <v>6</v>
      </c>
      <c r="K177" s="11">
        <v>4200</v>
      </c>
      <c r="L177" s="11">
        <v>126000</v>
      </c>
      <c r="M177" s="4">
        <v>101025</v>
      </c>
      <c r="N177" s="32" t="s">
        <v>487</v>
      </c>
      <c r="O177" s="4" t="s">
        <v>595</v>
      </c>
      <c r="P177" s="30">
        <f t="shared" si="32"/>
        <v>600000</v>
      </c>
      <c r="Q177" s="9" t="str">
        <f t="shared" si="33"/>
        <v>2028-11-15</v>
      </c>
      <c r="R177" t="str">
        <f t="shared" si="34"/>
        <v>INSERT INTO `nhathuoc_bsphong`.`dm_thuoc` (`ma_thuoc`, `ten_thuoc`, `hoat_chat`, `don_vi_chan`, `he_so`, `don_vi_le`, `nhom_thuoc`, `gia_nhap`, `gia_ban`) VALUES ('176', 'Stella Valsartan 80 H/30v', 'Valsartan 80mg', 'Hộp', '1', ' Viên ', '  Tim mạch ', '4200', '4200');</v>
      </c>
      <c r="S177" t="str">
        <f>"INSERT INTO `nhathuoc_bsphong`.`tbl_nk_ct` (`ma_phieu_nhap`, `ma_thuoc`, `ten_thuoc`, `lsx`, `don_vi_le`, `so_luong`, `don_gia`, `thanh_tien`, `hsd`) VALUES ('NK001', '" &amp; A177 &amp; "', '', '" &amp; M177 &amp; "', 'donvi', '"&amp; J177 &amp;"', '0', '0', '"&amp; Q177 &amp;"');"</f>
        <v>INSERT INTO `nhathuoc_bsphong`.`tbl_nk_ct` (`ma_phieu_nhap`, `ma_thuoc`, `ten_thuoc`, `lsx`, `don_vi_le`, `so_luong`, `don_gia`, `thanh_tien`, `hsd`) VALUES ('NK001', '176', '', '101025', 'donvi', '6', '0', '0', '2028-11-15');</v>
      </c>
    </row>
    <row r="178" spans="1:19" ht="15.75">
      <c r="A178">
        <v>177</v>
      </c>
      <c r="B178" s="4" t="s">
        <v>286</v>
      </c>
      <c r="C178" s="4" t="s">
        <v>86</v>
      </c>
      <c r="D178" s="12" t="s">
        <v>185</v>
      </c>
      <c r="E178" s="4" t="s">
        <v>603</v>
      </c>
      <c r="F178" s="4" t="str">
        <f t="shared" si="31"/>
        <v>Viên</v>
      </c>
      <c r="G178" s="12"/>
      <c r="H178" s="11"/>
      <c r="I178" s="11"/>
      <c r="J178" s="4"/>
      <c r="K178">
        <v>0</v>
      </c>
      <c r="L178" s="11"/>
      <c r="M178" s="4"/>
      <c r="N178" s="32"/>
      <c r="O178" s="4"/>
      <c r="P178" s="30">
        <f t="shared" si="32"/>
        <v>0</v>
      </c>
      <c r="Q178" s="9" t="e">
        <f t="shared" si="33"/>
        <v>#VALUE!</v>
      </c>
      <c r="R178" t="str">
        <f t="shared" si="34"/>
        <v>INSERT INTO `nhathuoc_bsphong`.`dm_thuoc` (`ma_thuoc`, `ten_thuoc`, `hoat_chat`, `don_vi_chan`, `he_so`, `don_vi_le`, `nhom_thuoc`, `gia_nhap`, `gia_ban`) VALUES ('177', 'Levothyrox 100 H/30v', 'Levothyrox 100mcg', 'Hộp', '1', ' Viên ', '  Tuyến giáp ', '0', '0');</v>
      </c>
      <c r="S178" t="e">
        <f t="shared" si="35"/>
        <v>#VALUE!</v>
      </c>
    </row>
    <row r="179" spans="1:19" ht="15.75">
      <c r="A179">
        <v>178</v>
      </c>
      <c r="B179" s="4" t="s">
        <v>286</v>
      </c>
      <c r="C179" s="4" t="s">
        <v>122</v>
      </c>
      <c r="D179" s="12" t="s">
        <v>211</v>
      </c>
      <c r="E179" s="4" t="s">
        <v>603</v>
      </c>
      <c r="F179" s="4" t="str">
        <f t="shared" si="31"/>
        <v>Viên</v>
      </c>
      <c r="G179" s="12"/>
      <c r="H179" s="11"/>
      <c r="I179" s="11"/>
      <c r="J179" s="4"/>
      <c r="K179">
        <v>0</v>
      </c>
      <c r="L179" s="11"/>
      <c r="M179" s="4"/>
      <c r="N179" s="32"/>
      <c r="O179" s="4"/>
      <c r="P179" s="30">
        <f t="shared" si="32"/>
        <v>0</v>
      </c>
      <c r="Q179" s="9" t="e">
        <f t="shared" si="33"/>
        <v>#VALUE!</v>
      </c>
      <c r="R179" t="str">
        <f t="shared" si="34"/>
        <v>INSERT INTO `nhathuoc_bsphong`.`dm_thuoc` (`ma_thuoc`, `ten_thuoc`, `hoat_chat`, `don_vi_chan`, `he_so`, `don_vi_le`, `nhom_thuoc`, `gia_nhap`, `gia_ban`) VALUES ('178', 'Thyrozol 5 H/100v', 'Thiamazol 5mg', 'Hộp', '1', ' Viên ', '  Tuyến giáp ', '0', '0');</v>
      </c>
      <c r="S179" t="e">
        <f t="shared" si="35"/>
        <v>#VALUE!</v>
      </c>
    </row>
    <row r="180" spans="1:19" ht="15.75">
      <c r="A180">
        <v>179</v>
      </c>
      <c r="B180" s="4" t="s">
        <v>261</v>
      </c>
      <c r="C180" s="4" t="s">
        <v>381</v>
      </c>
      <c r="D180" s="12" t="s">
        <v>382</v>
      </c>
      <c r="E180" s="4" t="s">
        <v>603</v>
      </c>
      <c r="F180" s="4" t="str">
        <f t="shared" si="31"/>
        <v>Viên</v>
      </c>
      <c r="G180" s="12" t="s">
        <v>335</v>
      </c>
      <c r="H180" s="11">
        <v>125000</v>
      </c>
      <c r="I180" s="11">
        <v>125000</v>
      </c>
      <c r="J180" s="4">
        <v>1</v>
      </c>
      <c r="K180" s="11">
        <v>1400</v>
      </c>
      <c r="L180" s="11">
        <v>140000</v>
      </c>
      <c r="M180" s="4">
        <v>260526</v>
      </c>
      <c r="N180" s="32" t="s">
        <v>503</v>
      </c>
      <c r="O180" s="13">
        <v>46272</v>
      </c>
      <c r="P180" s="30">
        <f t="shared" si="32"/>
        <v>125000</v>
      </c>
      <c r="Q180" s="9" t="str">
        <f t="shared" si="33"/>
        <v>2029-05-29</v>
      </c>
      <c r="R180" t="str">
        <f t="shared" si="34"/>
        <v>INSERT INTO `nhathuoc_bsphong`.`dm_thuoc` (`ma_thuoc`, `ten_thuoc`, `hoat_chat`, `don_vi_chan`, `he_so`, `don_vi_le`, `nhom_thuoc`, `gia_nhap`, `gia_ban`) VALUES ('179', 'Scanneuron H/100v', 'Vitamin B1 100mg,Vitamin B6 200mg,Vitamin B12 200mcg', 'Hộp', '1', ' Viên ', '  Vitamin ', '1400', '1400');</v>
      </c>
      <c r="S180" t="str">
        <f t="shared" ref="S180:S184" si="40">"INSERT INTO `nhathuoc_bsphong`.`tbl_nk_ct` (`ma_phieu_nhap`, `ma_thuoc`, `ten_thuoc`, `lsx`, `don_vi_le`, `so_luong`, `don_gia`, `thanh_tien`, `hsd`) VALUES ('NK001', '" &amp; A180 &amp; "', '', '" &amp; M180 &amp; "', 'donvi', '"&amp; J180 &amp;"', '0', '0', '"&amp; Q180 &amp;"');"</f>
        <v>INSERT INTO `nhathuoc_bsphong`.`tbl_nk_ct` (`ma_phieu_nhap`, `ma_thuoc`, `ten_thuoc`, `lsx`, `don_vi_le`, `so_luong`, `don_gia`, `thanh_tien`, `hsd`) VALUES ('NK001', '179', '', '260526', 'donvi', '1', '0', '0', '2029-05-29');</v>
      </c>
    </row>
    <row r="181" spans="1:19" ht="15.75">
      <c r="A181">
        <v>180</v>
      </c>
      <c r="B181" s="4" t="s">
        <v>261</v>
      </c>
      <c r="C181" s="4" t="s">
        <v>148</v>
      </c>
      <c r="D181" s="12" t="s">
        <v>393</v>
      </c>
      <c r="E181" s="4" t="s">
        <v>603</v>
      </c>
      <c r="F181" s="4" t="str">
        <f t="shared" si="31"/>
        <v>Viên</v>
      </c>
      <c r="G181" s="12" t="s">
        <v>342</v>
      </c>
      <c r="H181" s="11">
        <v>75000</v>
      </c>
      <c r="I181" s="11">
        <v>30000</v>
      </c>
      <c r="J181" s="4">
        <v>1</v>
      </c>
      <c r="K181" s="11">
        <v>900</v>
      </c>
      <c r="L181" s="11">
        <v>90000</v>
      </c>
      <c r="M181" s="4">
        <v>121225</v>
      </c>
      <c r="N181" s="32" t="s">
        <v>504</v>
      </c>
      <c r="O181" s="13">
        <v>46272</v>
      </c>
      <c r="P181" s="30">
        <f t="shared" si="32"/>
        <v>30000</v>
      </c>
      <c r="Q181" s="9" t="str">
        <f t="shared" si="33"/>
        <v>2027-12-24</v>
      </c>
      <c r="R181" t="str">
        <f t="shared" si="34"/>
        <v>INSERT INTO `nhathuoc_bsphong`.`dm_thuoc` (`ma_thuoc`, `ten_thuoc`, `hoat_chat`, `don_vi_chan`, `he_so`, `don_vi_le`, `nhom_thuoc`, `gia_nhap`, `gia_ban`) VALUES ('180', 'Agi-Vita C 500 H/100v', 'Vitamin C 500mg', 'Hộp', '1', ' Viên ', '  Vitamin ', '900', '900');</v>
      </c>
      <c r="S181" t="str">
        <f t="shared" si="40"/>
        <v>INSERT INTO `nhathuoc_bsphong`.`tbl_nk_ct` (`ma_phieu_nhap`, `ma_thuoc`, `ten_thuoc`, `lsx`, `don_vi_le`, `so_luong`, `don_gia`, `thanh_tien`, `hsd`) VALUES ('NK001', '180', '', '121225', 'donvi', '1', '0', '0', '2027-12-24');</v>
      </c>
    </row>
    <row r="182" spans="1:19" ht="15.75">
      <c r="A182">
        <v>181</v>
      </c>
      <c r="B182" s="4" t="s">
        <v>257</v>
      </c>
      <c r="C182" s="4" t="s">
        <v>554</v>
      </c>
      <c r="D182" s="12" t="s">
        <v>555</v>
      </c>
      <c r="E182" s="4" t="s">
        <v>603</v>
      </c>
      <c r="F182" s="4" t="str">
        <f t="shared" si="31"/>
        <v/>
      </c>
      <c r="G182" s="12" t="s">
        <v>390</v>
      </c>
      <c r="H182" s="11">
        <v>27000</v>
      </c>
      <c r="I182" s="11">
        <v>23000</v>
      </c>
      <c r="J182" s="4">
        <v>2</v>
      </c>
      <c r="K182" s="11">
        <v>900</v>
      </c>
      <c r="L182" s="11">
        <v>27000</v>
      </c>
      <c r="M182" s="5" t="s">
        <v>588</v>
      </c>
      <c r="N182" s="32" t="s">
        <v>589</v>
      </c>
      <c r="O182" s="4" t="s">
        <v>590</v>
      </c>
      <c r="P182" s="30">
        <f t="shared" si="32"/>
        <v>46000</v>
      </c>
      <c r="Q182" s="9" t="str">
        <f t="shared" si="33"/>
        <v>2029-05-22</v>
      </c>
      <c r="R182" t="str">
        <f t="shared" si="34"/>
        <v>INSERT INTO `nhathuoc_bsphong`.`dm_thuoc` (`ma_thuoc`, `ten_thuoc`, `hoat_chat`, `don_vi_chan`, `he_so`, `don_vi_le`, `nhom_thuoc`, `gia_nhap`, `gia_ban`) VALUES ('181', 'Caldihasan', 'Calcium 1250mg, Vitamin D3 125 dvqt', 'Hộp', '1', '  ', '  Vitamin  ', '900', '900');</v>
      </c>
      <c r="S182" t="str">
        <f t="shared" si="40"/>
        <v>INSERT INTO `nhathuoc_bsphong`.`tbl_nk_ct` (`ma_phieu_nhap`, `ma_thuoc`, `ten_thuoc`, `lsx`, `don_vi_le`, `so_luong`, `don_gia`, `thanh_tien`, `hsd`) VALUES ('NK001', '181', '', '05226', 'donvi', '2', '0', '0', '2029-05-22');</v>
      </c>
    </row>
    <row r="183" spans="1:19" ht="15.75">
      <c r="A183">
        <v>182</v>
      </c>
      <c r="B183" s="4" t="s">
        <v>279</v>
      </c>
      <c r="C183" s="4" t="s">
        <v>92</v>
      </c>
      <c r="D183" s="12" t="s">
        <v>391</v>
      </c>
      <c r="E183" s="4" t="s">
        <v>603</v>
      </c>
      <c r="F183" s="4" t="str">
        <f t="shared" si="31"/>
        <v/>
      </c>
      <c r="G183" s="12" t="s">
        <v>392</v>
      </c>
      <c r="H183" s="11">
        <v>35500</v>
      </c>
      <c r="I183" s="11">
        <v>34500</v>
      </c>
      <c r="J183" s="4">
        <v>1</v>
      </c>
      <c r="K183" s="11">
        <v>800</v>
      </c>
      <c r="L183" s="11">
        <v>40000</v>
      </c>
      <c r="M183" s="5" t="s">
        <v>472</v>
      </c>
      <c r="N183" s="32">
        <v>47213</v>
      </c>
      <c r="O183" s="13">
        <v>46272</v>
      </c>
      <c r="P183" s="30">
        <f t="shared" si="32"/>
        <v>34500</v>
      </c>
      <c r="Q183" s="9" t="str">
        <f t="shared" si="33"/>
        <v>2029-04-05</v>
      </c>
      <c r="R183" t="str">
        <f t="shared" si="34"/>
        <v>INSERT INTO `nhathuoc_bsphong`.`dm_thuoc` (`ma_thuoc`, `ten_thuoc`, `hoat_chat`, `don_vi_chan`, `he_so`, `don_vi_le`, `nhom_thuoc`, `gia_nhap`, `gia_ban`) VALUES ('182', 'Magnesi-B6', 'Magnesi lactat dihydrat 470mg +  Pyridoxin hydroclorid 5mg', 'Hộp', '1', '  ', '  Vitamin, khoáng chất ', '800', '800');</v>
      </c>
      <c r="S183" t="str">
        <f t="shared" si="40"/>
        <v>INSERT INTO `nhathuoc_bsphong`.`tbl_nk_ct` (`ma_phieu_nhap`, `ma_thuoc`, `ten_thuoc`, `lsx`, `don_vi_le`, `so_luong`, `don_gia`, `thanh_tien`, `hsd`) VALUES ('NK001', '182', '', '050526', 'donvi', '1', '0', '0', '2029-04-05');</v>
      </c>
    </row>
    <row r="184" spans="1:19" ht="15.75">
      <c r="A184">
        <v>183</v>
      </c>
      <c r="B184" s="19" t="s">
        <v>279</v>
      </c>
      <c r="C184" s="5" t="s">
        <v>395</v>
      </c>
      <c r="D184" s="4" t="s">
        <v>396</v>
      </c>
      <c r="E184" s="4" t="s">
        <v>603</v>
      </c>
      <c r="F184" s="4" t="str">
        <f t="shared" si="31"/>
        <v>Viên</v>
      </c>
      <c r="G184" s="4" t="s">
        <v>386</v>
      </c>
      <c r="H184" s="11">
        <v>87000</v>
      </c>
      <c r="I184" s="11">
        <v>94000</v>
      </c>
      <c r="J184" s="4">
        <v>3</v>
      </c>
      <c r="K184" s="11">
        <v>3133.3333333333335</v>
      </c>
      <c r="L184" s="11">
        <v>94000</v>
      </c>
      <c r="M184" s="4" t="s">
        <v>473</v>
      </c>
      <c r="N184" s="32">
        <v>46762</v>
      </c>
      <c r="O184" s="13">
        <v>46272</v>
      </c>
      <c r="P184" s="30">
        <f t="shared" si="32"/>
        <v>282000</v>
      </c>
      <c r="Q184" s="9" t="str">
        <f t="shared" si="33"/>
        <v>2028-01-10</v>
      </c>
      <c r="R184" t="str">
        <f t="shared" si="34"/>
        <v>INSERT INTO `nhathuoc_bsphong`.`dm_thuoc` (`ma_thuoc`, `ten_thuoc`, `hoat_chat`, `don_vi_chan`, `he_so`, `don_vi_le`, `nhom_thuoc`, `gia_nhap`, `gia_ban`) VALUES ('183', 'Tardyferon B9 H/30v', 'Acid folic (0.35mg), Sắt (50mg)', 'Hộp', '1', ' Viên ', '  Vitamin, khoáng chất ', '3133.33333333333', '3133.33333333333');</v>
      </c>
      <c r="S184" t="str">
        <f t="shared" si="40"/>
        <v>INSERT INTO `nhathuoc_bsphong`.`tbl_nk_ct` (`ma_phieu_nhap`, `ma_thuoc`, `ten_thuoc`, `lsx`, `don_vi_le`, `so_luong`, `don_gia`, `thanh_tien`, `hsd`) VALUES ('NK001', '183', '', '5G36M', 'donvi', '3', '0', '0', '2028-01-10');</v>
      </c>
    </row>
    <row r="185" spans="1:19" ht="15.75">
      <c r="A185">
        <v>184</v>
      </c>
      <c r="B185" s="4" t="s">
        <v>279</v>
      </c>
      <c r="C185" s="4" t="s">
        <v>70</v>
      </c>
      <c r="D185" s="12" t="s">
        <v>280</v>
      </c>
      <c r="E185" s="4" t="s">
        <v>603</v>
      </c>
      <c r="F185" s="4" t="str">
        <f t="shared" si="31"/>
        <v>Viên</v>
      </c>
      <c r="G185" s="12"/>
      <c r="H185" s="11"/>
      <c r="I185" s="11"/>
      <c r="J185" s="4"/>
      <c r="K185">
        <v>0</v>
      </c>
      <c r="L185" s="11"/>
      <c r="M185" s="4"/>
      <c r="N185" s="4"/>
      <c r="O185" s="4"/>
      <c r="P185" s="30">
        <f t="shared" si="32"/>
        <v>0</v>
      </c>
      <c r="Q185" s="9" t="e">
        <f t="shared" si="33"/>
        <v>#VALUE!</v>
      </c>
      <c r="R185" t="str">
        <f t="shared" si="34"/>
        <v>INSERT INTO `nhathuoc_bsphong`.`dm_thuoc` (`ma_thuoc`, `ten_thuoc`, `hoat_chat`, `don_vi_chan`, `he_so`, `don_vi_le`, `nhom_thuoc`, `gia_nhap`, `gia_ban`) VALUES ('184', 'Feliccare H/100V', 'Sắt Fumarate 162mg, Folic Acid 0.75mg,Vitamin B12 7.5mcg', 'Hộp', '1', ' Viên ', '  Vitamin, khoáng chất ', '0', '0');</v>
      </c>
      <c r="S185" t="e">
        <f t="shared" si="35"/>
        <v>#VALUE!</v>
      </c>
    </row>
    <row r="186" spans="1:19" ht="15.75">
      <c r="J186" s="9"/>
      <c r="K186" s="24"/>
      <c r="L186" s="24"/>
      <c r="P186" s="31">
        <f>SUM(P2:P185)</f>
        <v>31825210</v>
      </c>
    </row>
    <row r="199" spans="2:16" s="1" customFormat="1">
      <c r="B199"/>
      <c r="C199"/>
      <c r="D199"/>
      <c r="E199"/>
      <c r="F199"/>
      <c r="G199" s="3"/>
      <c r="H199" s="3"/>
      <c r="I199" s="3"/>
      <c r="J199" s="17"/>
      <c r="K199" s="3"/>
      <c r="L199" s="3"/>
      <c r="M199" s="18"/>
      <c r="N199" s="17"/>
      <c r="O199" s="17"/>
      <c r="P199" s="17"/>
    </row>
    <row r="200" spans="2:16" s="1" customFormat="1">
      <c r="B200"/>
      <c r="C200"/>
      <c r="D200"/>
      <c r="E200"/>
      <c r="F200"/>
      <c r="G200" s="3"/>
      <c r="H200" s="3"/>
      <c r="I200" s="3"/>
      <c r="J200" s="17"/>
      <c r="K200" s="3"/>
      <c r="L200" s="3"/>
      <c r="M200" s="18"/>
      <c r="N200" s="17"/>
      <c r="O200" s="17"/>
      <c r="P200" s="17"/>
    </row>
    <row r="209" spans="10:14">
      <c r="M209" s="27"/>
      <c r="N209" s="23"/>
    </row>
    <row r="210" spans="10:14">
      <c r="J210" s="23"/>
      <c r="K210" s="25"/>
      <c r="L210" s="25"/>
      <c r="M210" s="27"/>
      <c r="N210" s="23"/>
    </row>
    <row r="211" spans="10:14">
      <c r="J211" s="23"/>
      <c r="K211" s="25"/>
      <c r="L211" s="25"/>
    </row>
  </sheetData>
  <autoFilter ref="B1:Q186" xr:uid="{D6F158AD-4B9D-C943-9074-D024CF783795}"/>
  <sortState xmlns:xlrd2="http://schemas.microsoft.com/office/spreadsheetml/2017/richdata2" ref="B2:D187">
    <sortCondition ref="B2:B187"/>
    <sortCondition ref="C2:C187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902F-225D-424F-83DD-B123DC48ECFD}">
  <dimension ref="A1:C109"/>
  <sheetViews>
    <sheetView zoomScale="60" zoomScaleNormal="60" workbookViewId="0">
      <selection activeCell="B7" sqref="B7"/>
    </sheetView>
  </sheetViews>
  <sheetFormatPr defaultRowHeight="15"/>
  <cols>
    <col min="1" max="1" width="18.88671875" bestFit="1" customWidth="1"/>
    <col min="2" max="2" width="118.21875" bestFit="1" customWidth="1"/>
    <col min="3" max="3" width="41.88671875" bestFit="1" customWidth="1"/>
  </cols>
  <sheetData>
    <row r="1" spans="1:3" ht="15.75">
      <c r="A1" s="10" t="s">
        <v>6</v>
      </c>
      <c r="B1" s="10" t="s">
        <v>1</v>
      </c>
      <c r="C1" s="10" t="s">
        <v>2</v>
      </c>
    </row>
    <row r="2" spans="1:3" ht="15.75">
      <c r="A2" s="4" t="s">
        <v>14</v>
      </c>
      <c r="B2" s="4" t="s">
        <v>15</v>
      </c>
      <c r="C2" s="4" t="s">
        <v>15</v>
      </c>
    </row>
    <row r="3" spans="1:3" ht="15.75">
      <c r="A3" s="4" t="s">
        <v>14</v>
      </c>
      <c r="B3" s="4" t="s">
        <v>82</v>
      </c>
      <c r="C3" s="12" t="s">
        <v>180</v>
      </c>
    </row>
    <row r="4" spans="1:3" ht="15.75">
      <c r="A4" s="6" t="s">
        <v>315</v>
      </c>
      <c r="B4" s="6" t="s">
        <v>142</v>
      </c>
      <c r="C4" s="6" t="s">
        <v>233</v>
      </c>
    </row>
    <row r="5" spans="1:3" ht="15.75">
      <c r="A5" s="4" t="s">
        <v>315</v>
      </c>
      <c r="B5" s="4" t="s">
        <v>136</v>
      </c>
      <c r="C5" s="12" t="s">
        <v>227</v>
      </c>
    </row>
    <row r="6" spans="1:3" ht="15.75">
      <c r="A6" s="4" t="s">
        <v>315</v>
      </c>
      <c r="B6" s="4" t="s">
        <v>138</v>
      </c>
      <c r="C6" s="12" t="s">
        <v>229</v>
      </c>
    </row>
    <row r="7" spans="1:3" ht="15.75">
      <c r="A7" s="6" t="s">
        <v>315</v>
      </c>
      <c r="B7" s="6" t="s">
        <v>141</v>
      </c>
      <c r="C7" s="6" t="s">
        <v>232</v>
      </c>
    </row>
    <row r="8" spans="1:3" ht="15.75">
      <c r="A8" s="6" t="s">
        <v>315</v>
      </c>
      <c r="B8" s="6" t="s">
        <v>42</v>
      </c>
      <c r="C8" s="6" t="s">
        <v>226</v>
      </c>
    </row>
    <row r="9" spans="1:3" ht="15.75">
      <c r="A9" s="6" t="s">
        <v>315</v>
      </c>
      <c r="B9" s="6" t="s">
        <v>42</v>
      </c>
      <c r="C9" s="6" t="s">
        <v>316</v>
      </c>
    </row>
    <row r="10" spans="1:3" ht="15.75">
      <c r="A10" s="4" t="s">
        <v>282</v>
      </c>
      <c r="B10" s="4" t="s">
        <v>97</v>
      </c>
      <c r="C10" s="12" t="s">
        <v>296</v>
      </c>
    </row>
    <row r="11" spans="1:3" ht="15.75">
      <c r="A11" s="4" t="s">
        <v>282</v>
      </c>
      <c r="B11" s="4" t="s">
        <v>74</v>
      </c>
      <c r="C11" s="12" t="s">
        <v>176</v>
      </c>
    </row>
    <row r="12" spans="1:3" ht="15.75">
      <c r="A12" s="4" t="s">
        <v>274</v>
      </c>
      <c r="B12" s="4" t="s">
        <v>105</v>
      </c>
      <c r="C12" s="12" t="s">
        <v>291</v>
      </c>
    </row>
    <row r="13" spans="1:3" ht="15.75">
      <c r="A13" s="4" t="s">
        <v>275</v>
      </c>
      <c r="B13" s="4" t="s">
        <v>63</v>
      </c>
      <c r="C13" s="12" t="s">
        <v>170</v>
      </c>
    </row>
    <row r="14" spans="1:3" ht="15.75">
      <c r="A14" s="4" t="s">
        <v>26</v>
      </c>
      <c r="B14" s="4" t="s">
        <v>25</v>
      </c>
      <c r="C14" s="4" t="s">
        <v>28</v>
      </c>
    </row>
    <row r="15" spans="1:3" ht="15.75">
      <c r="A15" s="4" t="s">
        <v>26</v>
      </c>
      <c r="B15" s="4" t="s">
        <v>149</v>
      </c>
      <c r="C15" s="12" t="s">
        <v>238</v>
      </c>
    </row>
    <row r="16" spans="1:3" ht="15.75">
      <c r="A16" s="4" t="s">
        <v>26</v>
      </c>
      <c r="B16" s="4" t="s">
        <v>150</v>
      </c>
      <c r="C16" s="12" t="s">
        <v>239</v>
      </c>
    </row>
    <row r="17" spans="1:3" ht="15.75">
      <c r="A17" s="4" t="s">
        <v>272</v>
      </c>
      <c r="B17" s="4" t="s">
        <v>59</v>
      </c>
      <c r="C17" s="12" t="s">
        <v>273</v>
      </c>
    </row>
    <row r="18" spans="1:3" ht="15.75">
      <c r="A18" s="4" t="s">
        <v>272</v>
      </c>
      <c r="B18" s="4" t="s">
        <v>68</v>
      </c>
      <c r="C18" s="12" t="s">
        <v>277</v>
      </c>
    </row>
    <row r="19" spans="1:3" ht="15.75">
      <c r="A19" s="4" t="s">
        <v>6</v>
      </c>
      <c r="B19" s="4" t="s">
        <v>41</v>
      </c>
      <c r="C19" s="12" t="s">
        <v>155</v>
      </c>
    </row>
    <row r="20" spans="1:3" ht="15.75">
      <c r="A20" s="4" t="s">
        <v>6</v>
      </c>
      <c r="B20" s="4" t="s">
        <v>100</v>
      </c>
      <c r="C20" s="12" t="s">
        <v>194</v>
      </c>
    </row>
    <row r="21" spans="1:3" ht="15.75">
      <c r="A21" s="4" t="s">
        <v>6</v>
      </c>
      <c r="B21" s="4" t="s">
        <v>295</v>
      </c>
      <c r="C21" s="12" t="s">
        <v>181</v>
      </c>
    </row>
    <row r="22" spans="1:3" ht="15.75">
      <c r="A22" s="4" t="s">
        <v>6</v>
      </c>
      <c r="B22" s="4" t="s">
        <v>99</v>
      </c>
      <c r="C22" s="12" t="s">
        <v>193</v>
      </c>
    </row>
    <row r="23" spans="1:3" ht="15.75">
      <c r="A23" s="4" t="s">
        <v>6</v>
      </c>
      <c r="B23" s="4" t="s">
        <v>110</v>
      </c>
      <c r="C23" s="12" t="s">
        <v>202</v>
      </c>
    </row>
    <row r="24" spans="1:3" ht="15.75">
      <c r="A24" s="4" t="s">
        <v>271</v>
      </c>
      <c r="B24" s="4" t="s">
        <v>57</v>
      </c>
      <c r="C24" s="12" t="s">
        <v>165</v>
      </c>
    </row>
    <row r="25" spans="1:3" ht="15.75">
      <c r="A25" s="4" t="s">
        <v>271</v>
      </c>
      <c r="B25" s="4" t="s">
        <v>83</v>
      </c>
      <c r="C25" s="12" t="s">
        <v>182</v>
      </c>
    </row>
    <row r="26" spans="1:3" ht="15.75">
      <c r="A26" s="4" t="s">
        <v>20</v>
      </c>
      <c r="B26" s="4" t="s">
        <v>19</v>
      </c>
      <c r="C26" s="4" t="s">
        <v>256</v>
      </c>
    </row>
    <row r="27" spans="1:3" ht="15.75">
      <c r="A27" s="4" t="s">
        <v>20</v>
      </c>
      <c r="B27" s="4" t="s">
        <v>46</v>
      </c>
      <c r="C27" s="12" t="s">
        <v>258</v>
      </c>
    </row>
    <row r="28" spans="1:3" ht="15.75">
      <c r="A28" s="4" t="s">
        <v>20</v>
      </c>
      <c r="B28" s="4" t="s">
        <v>32</v>
      </c>
      <c r="C28" s="12" t="s">
        <v>246</v>
      </c>
    </row>
    <row r="29" spans="1:3" ht="15.75">
      <c r="A29" s="4" t="s">
        <v>20</v>
      </c>
      <c r="B29" s="4" t="s">
        <v>32</v>
      </c>
      <c r="C29" s="12" t="s">
        <v>244</v>
      </c>
    </row>
    <row r="30" spans="1:3" ht="15.75">
      <c r="A30" s="4" t="s">
        <v>20</v>
      </c>
      <c r="B30" s="4" t="s">
        <v>89</v>
      </c>
      <c r="C30" s="12" t="s">
        <v>186</v>
      </c>
    </row>
    <row r="31" spans="1:3" ht="15.75">
      <c r="A31" s="4" t="s">
        <v>20</v>
      </c>
      <c r="B31" s="4" t="s">
        <v>89</v>
      </c>
      <c r="C31" s="12" t="s">
        <v>290</v>
      </c>
    </row>
    <row r="32" spans="1:3" ht="15.75">
      <c r="A32" s="4" t="s">
        <v>20</v>
      </c>
      <c r="B32" s="4" t="s">
        <v>292</v>
      </c>
      <c r="C32" s="12" t="s">
        <v>294</v>
      </c>
    </row>
    <row r="33" spans="1:3" ht="15.75">
      <c r="A33" s="4" t="s">
        <v>20</v>
      </c>
      <c r="B33" s="4" t="s">
        <v>292</v>
      </c>
      <c r="C33" s="12" t="s">
        <v>293</v>
      </c>
    </row>
    <row r="34" spans="1:3" ht="15.75">
      <c r="A34" s="4" t="s">
        <v>267</v>
      </c>
      <c r="B34" s="4" t="s">
        <v>95</v>
      </c>
      <c r="C34" s="12" t="s">
        <v>191</v>
      </c>
    </row>
    <row r="35" spans="1:3" ht="15.75">
      <c r="A35" s="4" t="s">
        <v>267</v>
      </c>
      <c r="B35" s="4" t="s">
        <v>116</v>
      </c>
      <c r="C35" s="12" t="s">
        <v>206</v>
      </c>
    </row>
    <row r="36" spans="1:3" ht="15.75">
      <c r="A36" s="4" t="s">
        <v>267</v>
      </c>
      <c r="B36" s="4" t="s">
        <v>47</v>
      </c>
      <c r="C36" s="12" t="s">
        <v>158</v>
      </c>
    </row>
    <row r="37" spans="1:3" ht="15.75">
      <c r="A37" s="4" t="s">
        <v>5</v>
      </c>
      <c r="B37" s="4" t="s">
        <v>7</v>
      </c>
      <c r="C37" s="4" t="s">
        <v>9</v>
      </c>
    </row>
    <row r="38" spans="1:3" ht="15.75">
      <c r="A38" s="4" t="s">
        <v>276</v>
      </c>
      <c r="B38" s="4" t="s">
        <v>67</v>
      </c>
      <c r="C38" s="12" t="s">
        <v>240</v>
      </c>
    </row>
    <row r="39" spans="1:3" ht="15.75">
      <c r="A39" s="4" t="s">
        <v>259</v>
      </c>
      <c r="B39" s="4" t="s">
        <v>40</v>
      </c>
      <c r="C39" s="12" t="s">
        <v>154</v>
      </c>
    </row>
    <row r="40" spans="1:3" ht="15.75">
      <c r="A40" s="4" t="s">
        <v>259</v>
      </c>
      <c r="B40" s="4" t="s">
        <v>111</v>
      </c>
      <c r="C40" s="12" t="s">
        <v>203</v>
      </c>
    </row>
    <row r="41" spans="1:3" ht="15.75">
      <c r="A41" s="4" t="s">
        <v>259</v>
      </c>
      <c r="B41" s="4" t="s">
        <v>54</v>
      </c>
      <c r="C41" s="12" t="s">
        <v>163</v>
      </c>
    </row>
    <row r="42" spans="1:3" ht="15.75">
      <c r="A42" s="6" t="s">
        <v>281</v>
      </c>
      <c r="B42" s="6" t="s">
        <v>131</v>
      </c>
      <c r="C42" s="6" t="s">
        <v>312</v>
      </c>
    </row>
    <row r="43" spans="1:3" ht="15.75">
      <c r="A43" s="6" t="s">
        <v>281</v>
      </c>
      <c r="B43" s="6" t="s">
        <v>131</v>
      </c>
      <c r="C43" s="6" t="s">
        <v>222</v>
      </c>
    </row>
    <row r="44" spans="1:3" ht="15.75">
      <c r="A44" s="7" t="s">
        <v>281</v>
      </c>
      <c r="B44" s="7" t="s">
        <v>144</v>
      </c>
      <c r="C44" s="7" t="s">
        <v>317</v>
      </c>
    </row>
    <row r="45" spans="1:3" ht="15.75">
      <c r="A45" s="4" t="s">
        <v>281</v>
      </c>
      <c r="B45" s="4" t="s">
        <v>73</v>
      </c>
      <c r="C45" s="12" t="s">
        <v>175</v>
      </c>
    </row>
    <row r="46" spans="1:3" ht="15.75">
      <c r="A46" s="4" t="s">
        <v>281</v>
      </c>
      <c r="B46" s="4" t="s">
        <v>147</v>
      </c>
      <c r="C46" s="12" t="s">
        <v>237</v>
      </c>
    </row>
    <row r="47" spans="1:3" ht="15.75">
      <c r="A47" s="4" t="s">
        <v>249</v>
      </c>
      <c r="B47" s="4" t="s">
        <v>39</v>
      </c>
      <c r="C47" s="12" t="s">
        <v>394</v>
      </c>
    </row>
    <row r="48" spans="1:3" ht="15.75">
      <c r="A48" s="4" t="s">
        <v>249</v>
      </c>
      <c r="B48" s="4" t="s">
        <v>34</v>
      </c>
      <c r="C48" s="12" t="s">
        <v>250</v>
      </c>
    </row>
    <row r="49" spans="1:3" ht="15.75">
      <c r="A49" s="4" t="s">
        <v>249</v>
      </c>
      <c r="B49" s="4" t="s">
        <v>35</v>
      </c>
      <c r="C49" s="12" t="s">
        <v>151</v>
      </c>
    </row>
    <row r="50" spans="1:3" ht="15.75">
      <c r="A50" s="4" t="s">
        <v>298</v>
      </c>
      <c r="B50" s="4" t="s">
        <v>101</v>
      </c>
      <c r="C50" s="12" t="s">
        <v>195</v>
      </c>
    </row>
    <row r="51" spans="1:3" ht="15.75">
      <c r="A51" s="6" t="s">
        <v>16</v>
      </c>
      <c r="B51" s="6" t="s">
        <v>132</v>
      </c>
      <c r="C51" s="6" t="s">
        <v>223</v>
      </c>
    </row>
    <row r="52" spans="1:3" ht="15.75">
      <c r="A52" s="4" t="s">
        <v>16</v>
      </c>
      <c r="B52" s="4" t="s">
        <v>17</v>
      </c>
      <c r="C52" s="4" t="s">
        <v>18</v>
      </c>
    </row>
    <row r="53" spans="1:3" ht="15.75">
      <c r="A53" s="4" t="s">
        <v>16</v>
      </c>
      <c r="B53" s="4" t="s">
        <v>43</v>
      </c>
      <c r="C53" s="12" t="s">
        <v>156</v>
      </c>
    </row>
    <row r="54" spans="1:3" ht="15.75">
      <c r="A54" s="4" t="s">
        <v>16</v>
      </c>
      <c r="B54" s="4" t="s">
        <v>80</v>
      </c>
      <c r="C54" s="12" t="s">
        <v>178</v>
      </c>
    </row>
    <row r="55" spans="1:3" ht="15.75">
      <c r="A55" s="4" t="s">
        <v>16</v>
      </c>
      <c r="B55" s="4" t="s">
        <v>120</v>
      </c>
      <c r="C55" s="12" t="s">
        <v>210</v>
      </c>
    </row>
    <row r="56" spans="1:3" ht="15.75">
      <c r="A56" s="4" t="s">
        <v>16</v>
      </c>
      <c r="B56" s="4" t="s">
        <v>96</v>
      </c>
      <c r="C56" s="12" t="s">
        <v>192</v>
      </c>
    </row>
    <row r="57" spans="1:3" ht="15.75">
      <c r="A57" s="4" t="s">
        <v>16</v>
      </c>
      <c r="B57" s="4" t="s">
        <v>75</v>
      </c>
      <c r="C57" s="12" t="s">
        <v>177</v>
      </c>
    </row>
    <row r="58" spans="1:3" ht="15.75">
      <c r="A58" s="4" t="s">
        <v>16</v>
      </c>
      <c r="B58" s="4" t="s">
        <v>103</v>
      </c>
      <c r="C58" s="12" t="s">
        <v>196</v>
      </c>
    </row>
    <row r="59" spans="1:3" ht="15.75">
      <c r="A59" s="4" t="s">
        <v>16</v>
      </c>
      <c r="B59" s="4" t="s">
        <v>90</v>
      </c>
      <c r="C59" s="12" t="s">
        <v>187</v>
      </c>
    </row>
    <row r="60" spans="1:3" ht="15.75">
      <c r="A60" s="4" t="s">
        <v>16</v>
      </c>
      <c r="B60" s="4" t="s">
        <v>91</v>
      </c>
      <c r="C60" s="12" t="s">
        <v>188</v>
      </c>
    </row>
    <row r="61" spans="1:3" ht="15.75">
      <c r="A61" s="4" t="s">
        <v>299</v>
      </c>
      <c r="B61" s="4" t="s">
        <v>301</v>
      </c>
      <c r="C61" s="12" t="s">
        <v>302</v>
      </c>
    </row>
    <row r="62" spans="1:3" ht="15.75">
      <c r="A62" s="4" t="s">
        <v>299</v>
      </c>
      <c r="B62" s="4" t="s">
        <v>301</v>
      </c>
      <c r="C62" s="12" t="s">
        <v>300</v>
      </c>
    </row>
    <row r="63" spans="1:3" ht="15.75">
      <c r="A63" s="6" t="s">
        <v>309</v>
      </c>
      <c r="B63" s="6" t="s">
        <v>123</v>
      </c>
      <c r="C63" s="6" t="s">
        <v>311</v>
      </c>
    </row>
    <row r="64" spans="1:3" ht="15.75">
      <c r="A64" s="6" t="s">
        <v>309</v>
      </c>
      <c r="B64" s="6" t="s">
        <v>310</v>
      </c>
      <c r="C64" s="6" t="s">
        <v>213</v>
      </c>
    </row>
    <row r="65" spans="1:3" ht="15.75">
      <c r="A65" s="6" t="s">
        <v>309</v>
      </c>
      <c r="B65" s="6" t="s">
        <v>126</v>
      </c>
      <c r="C65" s="6" t="s">
        <v>215</v>
      </c>
    </row>
    <row r="66" spans="1:3" ht="15.75">
      <c r="A66" s="6" t="s">
        <v>309</v>
      </c>
      <c r="B66" s="6" t="s">
        <v>133</v>
      </c>
      <c r="C66" s="6" t="s">
        <v>224</v>
      </c>
    </row>
    <row r="67" spans="1:3" ht="15.75">
      <c r="A67" s="6" t="s">
        <v>309</v>
      </c>
      <c r="B67" s="6" t="s">
        <v>102</v>
      </c>
      <c r="C67" s="6" t="s">
        <v>218</v>
      </c>
    </row>
    <row r="68" spans="1:3" ht="15.75">
      <c r="A68" s="4" t="s">
        <v>309</v>
      </c>
      <c r="B68" s="4" t="s">
        <v>124</v>
      </c>
      <c r="C68" s="12" t="s">
        <v>212</v>
      </c>
    </row>
    <row r="69" spans="1:3" ht="15.75">
      <c r="A69" s="6" t="s">
        <v>309</v>
      </c>
      <c r="B69" s="6" t="s">
        <v>127</v>
      </c>
      <c r="C69" s="6" t="s">
        <v>216</v>
      </c>
    </row>
    <row r="70" spans="1:3" ht="15.75">
      <c r="A70" s="6" t="s">
        <v>309</v>
      </c>
      <c r="B70" s="6" t="s">
        <v>128</v>
      </c>
      <c r="C70" s="6" t="s">
        <v>217</v>
      </c>
    </row>
    <row r="71" spans="1:3" ht="15.75">
      <c r="A71" s="4" t="s">
        <v>309</v>
      </c>
      <c r="B71" s="4" t="s">
        <v>130</v>
      </c>
      <c r="C71" s="12" t="s">
        <v>221</v>
      </c>
    </row>
    <row r="72" spans="1:3" ht="15.75">
      <c r="A72" s="6" t="s">
        <v>309</v>
      </c>
      <c r="B72" s="6" t="s">
        <v>106</v>
      </c>
      <c r="C72" s="6" t="s">
        <v>220</v>
      </c>
    </row>
    <row r="73" spans="1:3" ht="15.75">
      <c r="A73" s="4" t="s">
        <v>309</v>
      </c>
      <c r="B73" s="4" t="s">
        <v>129</v>
      </c>
      <c r="C73" s="12" t="s">
        <v>219</v>
      </c>
    </row>
    <row r="74" spans="1:3" ht="15.75">
      <c r="A74" s="4" t="s">
        <v>309</v>
      </c>
      <c r="B74" s="4" t="s">
        <v>125</v>
      </c>
      <c r="C74" s="12" t="s">
        <v>214</v>
      </c>
    </row>
    <row r="75" spans="1:3" ht="15.75">
      <c r="A75" s="4" t="s">
        <v>269</v>
      </c>
      <c r="B75" s="4" t="s">
        <v>84</v>
      </c>
      <c r="C75" s="12" t="s">
        <v>183</v>
      </c>
    </row>
    <row r="76" spans="1:3" ht="15.75">
      <c r="A76" s="4" t="s">
        <v>269</v>
      </c>
      <c r="B76" s="4" t="s">
        <v>48</v>
      </c>
      <c r="C76" s="12" t="s">
        <v>268</v>
      </c>
    </row>
    <row r="77" spans="1:3" ht="15.75">
      <c r="A77" s="4" t="s">
        <v>11</v>
      </c>
      <c r="B77" s="4" t="s">
        <v>107</v>
      </c>
      <c r="C77" s="12" t="s">
        <v>199</v>
      </c>
    </row>
    <row r="78" spans="1:3" ht="15.75">
      <c r="A78" s="4" t="s">
        <v>11</v>
      </c>
      <c r="B78" s="4" t="s">
        <v>65</v>
      </c>
      <c r="C78" s="12" t="s">
        <v>172</v>
      </c>
    </row>
    <row r="79" spans="1:3" ht="15.75">
      <c r="A79" s="4" t="s">
        <v>11</v>
      </c>
      <c r="B79" s="4" t="s">
        <v>143</v>
      </c>
      <c r="C79" s="12" t="s">
        <v>234</v>
      </c>
    </row>
    <row r="80" spans="1:3" ht="15.75">
      <c r="A80" s="4" t="s">
        <v>11</v>
      </c>
      <c r="B80" s="4" t="s">
        <v>115</v>
      </c>
      <c r="C80" s="12" t="s">
        <v>205</v>
      </c>
    </row>
    <row r="81" spans="1:3" ht="15.75">
      <c r="A81" s="4" t="s">
        <v>11</v>
      </c>
      <c r="B81" s="4" t="s">
        <v>98</v>
      </c>
      <c r="C81" s="12" t="s">
        <v>297</v>
      </c>
    </row>
    <row r="82" spans="1:3" ht="15.75">
      <c r="A82" s="4" t="s">
        <v>11</v>
      </c>
      <c r="B82" s="4" t="s">
        <v>104</v>
      </c>
      <c r="C82" s="12" t="s">
        <v>197</v>
      </c>
    </row>
    <row r="83" spans="1:3" ht="15.75">
      <c r="A83" s="4" t="s">
        <v>11</v>
      </c>
      <c r="B83" s="4" t="s">
        <v>102</v>
      </c>
      <c r="C83" s="12" t="s">
        <v>252</v>
      </c>
    </row>
    <row r="84" spans="1:3" ht="15.75">
      <c r="A84" s="4" t="s">
        <v>11</v>
      </c>
      <c r="B84" s="4" t="s">
        <v>102</v>
      </c>
      <c r="C84" s="12" t="s">
        <v>251</v>
      </c>
    </row>
    <row r="85" spans="1:3" ht="15.75">
      <c r="A85" s="4" t="s">
        <v>11</v>
      </c>
      <c r="B85" s="4" t="s">
        <v>264</v>
      </c>
      <c r="C85" s="12" t="s">
        <v>265</v>
      </c>
    </row>
    <row r="86" spans="1:3" ht="15.75">
      <c r="A86" s="4" t="s">
        <v>11</v>
      </c>
      <c r="B86" s="4" t="s">
        <v>72</v>
      </c>
      <c r="C86" s="12" t="s">
        <v>174</v>
      </c>
    </row>
    <row r="87" spans="1:3" ht="15.75">
      <c r="A87" s="4" t="s">
        <v>11</v>
      </c>
      <c r="B87" s="4" t="s">
        <v>106</v>
      </c>
      <c r="C87" s="12" t="s">
        <v>198</v>
      </c>
    </row>
    <row r="88" spans="1:3" ht="15.75">
      <c r="A88" s="4" t="s">
        <v>11</v>
      </c>
      <c r="B88" s="4" t="s">
        <v>318</v>
      </c>
      <c r="C88" s="12" t="s">
        <v>319</v>
      </c>
    </row>
    <row r="89" spans="1:3" ht="15.75">
      <c r="A89" s="4" t="s">
        <v>11</v>
      </c>
      <c r="B89" s="4" t="s">
        <v>85</v>
      </c>
      <c r="C89" s="12" t="s">
        <v>184</v>
      </c>
    </row>
    <row r="90" spans="1:3" ht="15.75">
      <c r="A90" s="4" t="s">
        <v>11</v>
      </c>
      <c r="B90" s="4" t="s">
        <v>12</v>
      </c>
      <c r="C90" s="4" t="s">
        <v>13</v>
      </c>
    </row>
    <row r="91" spans="1:3" ht="15.75">
      <c r="A91" s="4" t="s">
        <v>23</v>
      </c>
      <c r="B91" s="4" t="s">
        <v>66</v>
      </c>
      <c r="C91" s="12" t="s">
        <v>173</v>
      </c>
    </row>
    <row r="92" spans="1:3" ht="15.75">
      <c r="A92" s="4" t="s">
        <v>23</v>
      </c>
      <c r="B92" s="4" t="s">
        <v>118</v>
      </c>
      <c r="C92" s="12" t="s">
        <v>208</v>
      </c>
    </row>
    <row r="93" spans="1:3" ht="15.75">
      <c r="A93" s="4" t="s">
        <v>23</v>
      </c>
      <c r="B93" s="4" t="s">
        <v>30</v>
      </c>
      <c r="C93" s="12" t="s">
        <v>241</v>
      </c>
    </row>
    <row r="94" spans="1:3" ht="15.75">
      <c r="A94" s="4" t="s">
        <v>23</v>
      </c>
      <c r="B94" s="4" t="s">
        <v>322</v>
      </c>
      <c r="C94" s="12" t="s">
        <v>323</v>
      </c>
    </row>
    <row r="95" spans="1:3" ht="15.75">
      <c r="A95" s="4" t="s">
        <v>23</v>
      </c>
      <c r="B95" s="4" t="s">
        <v>58</v>
      </c>
      <c r="C95" s="12" t="s">
        <v>166</v>
      </c>
    </row>
    <row r="96" spans="1:3" ht="15.75">
      <c r="A96" s="4" t="s">
        <v>23</v>
      </c>
      <c r="B96" s="4" t="s">
        <v>22</v>
      </c>
      <c r="C96" s="4" t="s">
        <v>24</v>
      </c>
    </row>
    <row r="97" spans="1:3" ht="15.75">
      <c r="A97" s="4" t="s">
        <v>23</v>
      </c>
      <c r="B97" s="4" t="s">
        <v>81</v>
      </c>
      <c r="C97" s="12" t="s">
        <v>179</v>
      </c>
    </row>
    <row r="98" spans="1:3" ht="15.75">
      <c r="A98" s="4" t="s">
        <v>23</v>
      </c>
      <c r="B98" s="4" t="s">
        <v>112</v>
      </c>
      <c r="C98" s="12" t="s">
        <v>204</v>
      </c>
    </row>
    <row r="99" spans="1:3" ht="15.75">
      <c r="A99" s="4" t="s">
        <v>23</v>
      </c>
      <c r="B99" s="4" t="s">
        <v>88</v>
      </c>
      <c r="C99" s="12" t="s">
        <v>287</v>
      </c>
    </row>
    <row r="100" spans="1:3" ht="15.75">
      <c r="A100" s="4" t="s">
        <v>23</v>
      </c>
      <c r="B100" s="4" t="s">
        <v>88</v>
      </c>
      <c r="C100" s="12" t="s">
        <v>289</v>
      </c>
    </row>
    <row r="101" spans="1:3" ht="15.75">
      <c r="A101" s="4" t="s">
        <v>23</v>
      </c>
      <c r="B101" s="4" t="s">
        <v>87</v>
      </c>
      <c r="C101" s="12" t="s">
        <v>288</v>
      </c>
    </row>
    <row r="102" spans="1:3" ht="15.75">
      <c r="A102" s="4" t="s">
        <v>23</v>
      </c>
      <c r="B102" s="4" t="s">
        <v>52</v>
      </c>
      <c r="C102" s="12" t="s">
        <v>161</v>
      </c>
    </row>
    <row r="103" spans="1:3" ht="15.75">
      <c r="A103" s="4" t="s">
        <v>23</v>
      </c>
      <c r="B103" s="4" t="s">
        <v>113</v>
      </c>
      <c r="C103" s="12" t="s">
        <v>306</v>
      </c>
    </row>
    <row r="104" spans="1:3" ht="15.75">
      <c r="A104" s="4" t="s">
        <v>23</v>
      </c>
      <c r="B104" s="4" t="s">
        <v>307</v>
      </c>
      <c r="C104" s="12" t="s">
        <v>308</v>
      </c>
    </row>
    <row r="105" spans="1:3" ht="15.75">
      <c r="A105" s="4" t="s">
        <v>23</v>
      </c>
      <c r="B105" s="4" t="s">
        <v>36</v>
      </c>
      <c r="C105" s="12" t="s">
        <v>152</v>
      </c>
    </row>
    <row r="106" spans="1:3" ht="15.75">
      <c r="A106" s="4" t="s">
        <v>286</v>
      </c>
      <c r="B106" s="4" t="s">
        <v>86</v>
      </c>
      <c r="C106" s="12" t="s">
        <v>185</v>
      </c>
    </row>
    <row r="107" spans="1:3" ht="15.75">
      <c r="A107" s="4" t="s">
        <v>286</v>
      </c>
      <c r="B107" s="4" t="s">
        <v>122</v>
      </c>
      <c r="C107" s="12" t="s">
        <v>211</v>
      </c>
    </row>
    <row r="108" spans="1:3" ht="15.75">
      <c r="A108" s="4" t="s">
        <v>257</v>
      </c>
      <c r="B108" s="4" t="s">
        <v>260</v>
      </c>
      <c r="C108" s="12" t="s">
        <v>153</v>
      </c>
    </row>
    <row r="109" spans="1:3" ht="15.75">
      <c r="A109" s="4" t="s">
        <v>279</v>
      </c>
      <c r="B109" s="4" t="s">
        <v>70</v>
      </c>
      <c r="C109" s="1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minhhuyen300797@gmail.com</dc:creator>
  <cp:lastModifiedBy>tấn lộc võ</cp:lastModifiedBy>
  <dcterms:created xsi:type="dcterms:W3CDTF">2026-04-23T14:33:57Z</dcterms:created>
  <dcterms:modified xsi:type="dcterms:W3CDTF">2026-07-24T14:16:54Z</dcterms:modified>
</cp:coreProperties>
</file>